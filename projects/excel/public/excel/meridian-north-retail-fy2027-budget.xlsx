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sharonf\Downloads\"/>
    </mc:Choice>
  </mc:AlternateContent>
  <xr:revisionPtr revIDLastSave="0" documentId="13_ncr:1_{CA174421-733E-47C0-A539-DF89B055740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Revenue Detail" sheetId="1" r:id="rId1"/>
    <sheet name="Expense Detail" sheetId="2" r:id="rId2"/>
    <sheet name="Variance Report" sheetId="4" r:id="rId3"/>
    <sheet name="Cash Flow Forecast" sheetId="5" r:id="rId4"/>
    <sheet name="Headcount Plan" sheetId="6" r:id="rId5"/>
    <sheet name="Dashboard" sheetId="7" r:id="rId6"/>
    <sheet name="Assumptions" sheetId="8" r:id="rId7"/>
    <sheet name="Budget Request Form" sheetId="3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8" l="1"/>
  <c r="B26" i="8"/>
  <c r="C19" i="7"/>
  <c r="B19" i="7"/>
  <c r="C18" i="7"/>
  <c r="B18" i="7"/>
  <c r="F17" i="7"/>
  <c r="G17" i="7" s="1"/>
  <c r="F16" i="7"/>
  <c r="G16" i="7" s="1"/>
  <c r="C16" i="7"/>
  <c r="B16" i="7"/>
  <c r="F15" i="7"/>
  <c r="G15" i="7" s="1"/>
  <c r="F14" i="7"/>
  <c r="G14" i="7" s="1"/>
  <c r="C14" i="7"/>
  <c r="B14" i="7"/>
  <c r="F13" i="7"/>
  <c r="G13" i="7" s="1"/>
  <c r="C13" i="7"/>
  <c r="B13" i="7"/>
  <c r="F12" i="7"/>
  <c r="G12" i="7" s="1"/>
  <c r="C12" i="7"/>
  <c r="B12" i="7"/>
  <c r="F11" i="7"/>
  <c r="G11" i="7" s="1"/>
  <c r="C11" i="7"/>
  <c r="B11" i="7"/>
  <c r="F10" i="7"/>
  <c r="G10" i="7" s="1"/>
  <c r="F21" i="6"/>
  <c r="D21" i="6"/>
  <c r="C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20" i="5"/>
  <c r="E20" i="5"/>
  <c r="D20" i="5"/>
  <c r="F19" i="5"/>
  <c r="D19" i="5"/>
  <c r="F18" i="5"/>
  <c r="D18" i="5"/>
  <c r="F17" i="5"/>
  <c r="D17" i="5"/>
  <c r="C17" i="5"/>
  <c r="F16" i="5"/>
  <c r="D16" i="5"/>
  <c r="C16" i="5"/>
  <c r="F15" i="5"/>
  <c r="D15" i="5"/>
  <c r="C15" i="5"/>
  <c r="F14" i="5"/>
  <c r="D14" i="5"/>
  <c r="C14" i="5"/>
  <c r="F13" i="5"/>
  <c r="D13" i="5"/>
  <c r="C13" i="5"/>
  <c r="F12" i="5"/>
  <c r="D12" i="5"/>
  <c r="C12" i="5"/>
  <c r="F11" i="5"/>
  <c r="D11" i="5"/>
  <c r="C11" i="5"/>
  <c r="F10" i="5"/>
  <c r="D10" i="5"/>
  <c r="C10" i="5"/>
  <c r="F9" i="5"/>
  <c r="D9" i="5"/>
  <c r="C9" i="5"/>
  <c r="F8" i="5"/>
  <c r="D8" i="5"/>
  <c r="C8" i="5"/>
  <c r="B8" i="5"/>
  <c r="G8" i="5" s="1"/>
  <c r="B9" i="5" s="1"/>
  <c r="G9" i="5" s="1"/>
  <c r="B10" i="5" s="1"/>
  <c r="G10" i="5" s="1"/>
  <c r="B11" i="5" s="1"/>
  <c r="G11" i="5" s="1"/>
  <c r="B12" i="5" s="1"/>
  <c r="G12" i="5" s="1"/>
  <c r="B13" i="5" s="1"/>
  <c r="G13" i="5" s="1"/>
  <c r="B14" i="5" s="1"/>
  <c r="G14" i="5" s="1"/>
  <c r="B15" i="5" s="1"/>
  <c r="G15" i="5" s="1"/>
  <c r="B16" i="5" s="1"/>
  <c r="G16" i="5" s="1"/>
  <c r="B17" i="5" s="1"/>
  <c r="G17" i="5" s="1"/>
  <c r="B18" i="5" s="1"/>
  <c r="C5" i="5"/>
  <c r="C4" i="5"/>
  <c r="C3" i="5"/>
  <c r="C22" i="4"/>
  <c r="B22" i="4"/>
  <c r="C21" i="4"/>
  <c r="D21" i="4" s="1"/>
  <c r="E21" i="4" s="1"/>
  <c r="B21" i="4"/>
  <c r="C20" i="4"/>
  <c r="D20" i="4" s="1"/>
  <c r="E20" i="4" s="1"/>
  <c r="B20" i="4"/>
  <c r="C19" i="4"/>
  <c r="D19" i="4" s="1"/>
  <c r="E19" i="4" s="1"/>
  <c r="B19" i="4"/>
  <c r="C18" i="4"/>
  <c r="D18" i="4" s="1"/>
  <c r="E18" i="4" s="1"/>
  <c r="B18" i="4"/>
  <c r="C17" i="4"/>
  <c r="D17" i="4" s="1"/>
  <c r="E17" i="4" s="1"/>
  <c r="B17" i="4"/>
  <c r="C16" i="4"/>
  <c r="D16" i="4" s="1"/>
  <c r="E16" i="4" s="1"/>
  <c r="B16" i="4"/>
  <c r="C15" i="4"/>
  <c r="D15" i="4" s="1"/>
  <c r="E15" i="4" s="1"/>
  <c r="B15" i="4"/>
  <c r="C14" i="4"/>
  <c r="D14" i="4" s="1"/>
  <c r="E14" i="4" s="1"/>
  <c r="B14" i="4"/>
  <c r="M16" i="3"/>
  <c r="L16" i="3"/>
  <c r="K16" i="3"/>
  <c r="J16" i="3"/>
  <c r="I16" i="3"/>
  <c r="H16" i="3"/>
  <c r="G16" i="3"/>
  <c r="F16" i="3"/>
  <c r="E16" i="3"/>
  <c r="D16" i="3"/>
  <c r="C16" i="3"/>
  <c r="B16" i="3"/>
  <c r="N15" i="3"/>
  <c r="N14" i="3"/>
  <c r="N13" i="3"/>
  <c r="N12" i="3"/>
  <c r="N11" i="3"/>
  <c r="N10" i="3"/>
  <c r="N9" i="3"/>
  <c r="N16" i="3" s="1"/>
  <c r="D100" i="2"/>
  <c r="J100" i="2" s="1"/>
  <c r="K100" i="2" s="1"/>
  <c r="C100" i="2"/>
  <c r="J99" i="2"/>
  <c r="K99" i="2" s="1"/>
  <c r="E99" i="2"/>
  <c r="F99" i="2" s="1"/>
  <c r="J98" i="2"/>
  <c r="K98" i="2" s="1"/>
  <c r="E98" i="2"/>
  <c r="F98" i="2" s="1"/>
  <c r="J97" i="2"/>
  <c r="K97" i="2" s="1"/>
  <c r="E97" i="2"/>
  <c r="F97" i="2" s="1"/>
  <c r="J96" i="2"/>
  <c r="K96" i="2" s="1"/>
  <c r="E96" i="2"/>
  <c r="F96" i="2" s="1"/>
  <c r="J95" i="2"/>
  <c r="K95" i="2" s="1"/>
  <c r="E95" i="2"/>
  <c r="J94" i="2"/>
  <c r="K94" i="2" s="1"/>
  <c r="E94" i="2"/>
  <c r="F94" i="2" s="1"/>
  <c r="J93" i="2"/>
  <c r="K93" i="2" s="1"/>
  <c r="E93" i="2"/>
  <c r="F93" i="2" s="1"/>
  <c r="J92" i="2"/>
  <c r="K92" i="2" s="1"/>
  <c r="E92" i="2"/>
  <c r="F92" i="2" s="1"/>
  <c r="J91" i="2"/>
  <c r="K91" i="2" s="1"/>
  <c r="E91" i="2"/>
  <c r="F91" i="2" s="1"/>
  <c r="J90" i="2"/>
  <c r="K90" i="2" s="1"/>
  <c r="E90" i="2"/>
  <c r="F90" i="2" s="1"/>
  <c r="J89" i="2"/>
  <c r="K89" i="2" s="1"/>
  <c r="E89" i="2"/>
  <c r="F89" i="2" s="1"/>
  <c r="J88" i="2"/>
  <c r="K88" i="2" s="1"/>
  <c r="E88" i="2"/>
  <c r="F88" i="2" s="1"/>
  <c r="J87" i="2"/>
  <c r="K87" i="2" s="1"/>
  <c r="E87" i="2"/>
  <c r="F87" i="2" s="1"/>
  <c r="J86" i="2"/>
  <c r="K86" i="2" s="1"/>
  <c r="E86" i="2"/>
  <c r="F86" i="2" s="1"/>
  <c r="J85" i="2"/>
  <c r="K85" i="2" s="1"/>
  <c r="E85" i="2"/>
  <c r="F85" i="2" s="1"/>
  <c r="J84" i="2"/>
  <c r="K84" i="2" s="1"/>
  <c r="E84" i="2"/>
  <c r="F84" i="2" s="1"/>
  <c r="J83" i="2"/>
  <c r="K83" i="2" s="1"/>
  <c r="E83" i="2"/>
  <c r="F83" i="2" s="1"/>
  <c r="J82" i="2"/>
  <c r="K82" i="2" s="1"/>
  <c r="E82" i="2"/>
  <c r="F82" i="2" s="1"/>
  <c r="J81" i="2"/>
  <c r="K81" i="2" s="1"/>
  <c r="E81" i="2"/>
  <c r="F81" i="2" s="1"/>
  <c r="J80" i="2"/>
  <c r="K80" i="2" s="1"/>
  <c r="E80" i="2"/>
  <c r="F80" i="2" s="1"/>
  <c r="J79" i="2"/>
  <c r="K79" i="2" s="1"/>
  <c r="E79" i="2"/>
  <c r="F79" i="2" s="1"/>
  <c r="J78" i="2"/>
  <c r="K78" i="2" s="1"/>
  <c r="E78" i="2"/>
  <c r="F78" i="2" s="1"/>
  <c r="J77" i="2"/>
  <c r="K77" i="2" s="1"/>
  <c r="E77" i="2"/>
  <c r="F77" i="2" s="1"/>
  <c r="J76" i="2"/>
  <c r="K76" i="2" s="1"/>
  <c r="E76" i="2"/>
  <c r="F76" i="2" s="1"/>
  <c r="J75" i="2"/>
  <c r="K75" i="2" s="1"/>
  <c r="E75" i="2"/>
  <c r="F75" i="2" s="1"/>
  <c r="J74" i="2"/>
  <c r="K74" i="2" s="1"/>
  <c r="E74" i="2"/>
  <c r="F74" i="2" s="1"/>
  <c r="J73" i="2"/>
  <c r="K73" i="2" s="1"/>
  <c r="E73" i="2"/>
  <c r="F73" i="2" s="1"/>
  <c r="J72" i="2"/>
  <c r="K72" i="2" s="1"/>
  <c r="E72" i="2"/>
  <c r="F72" i="2" s="1"/>
  <c r="J71" i="2"/>
  <c r="K71" i="2" s="1"/>
  <c r="E71" i="2"/>
  <c r="F71" i="2" s="1"/>
  <c r="J70" i="2"/>
  <c r="K70" i="2" s="1"/>
  <c r="E70" i="2"/>
  <c r="F70" i="2" s="1"/>
  <c r="J69" i="2"/>
  <c r="K69" i="2" s="1"/>
  <c r="E69" i="2"/>
  <c r="F69" i="2" s="1"/>
  <c r="J68" i="2"/>
  <c r="K68" i="2" s="1"/>
  <c r="E68" i="2"/>
  <c r="F68" i="2" s="1"/>
  <c r="J67" i="2"/>
  <c r="K67" i="2" s="1"/>
  <c r="E67" i="2"/>
  <c r="F67" i="2" s="1"/>
  <c r="J66" i="2"/>
  <c r="K66" i="2" s="1"/>
  <c r="E66" i="2"/>
  <c r="F66" i="2" s="1"/>
  <c r="J65" i="2"/>
  <c r="K65" i="2" s="1"/>
  <c r="E65" i="2"/>
  <c r="F65" i="2" s="1"/>
  <c r="J64" i="2"/>
  <c r="K64" i="2" s="1"/>
  <c r="E64" i="2"/>
  <c r="F64" i="2" s="1"/>
  <c r="J63" i="2"/>
  <c r="K63" i="2" s="1"/>
  <c r="E63" i="2"/>
  <c r="F63" i="2" s="1"/>
  <c r="J62" i="2"/>
  <c r="K62" i="2" s="1"/>
  <c r="E62" i="2"/>
  <c r="F62" i="2" s="1"/>
  <c r="J61" i="2"/>
  <c r="K61" i="2" s="1"/>
  <c r="E61" i="2"/>
  <c r="F61" i="2" s="1"/>
  <c r="J60" i="2"/>
  <c r="K60" i="2" s="1"/>
  <c r="E60" i="2"/>
  <c r="F60" i="2" s="1"/>
  <c r="J59" i="2"/>
  <c r="K59" i="2" s="1"/>
  <c r="E59" i="2"/>
  <c r="F59" i="2" s="1"/>
  <c r="J58" i="2"/>
  <c r="K58" i="2" s="1"/>
  <c r="E58" i="2"/>
  <c r="F58" i="2" s="1"/>
  <c r="J57" i="2"/>
  <c r="K57" i="2" s="1"/>
  <c r="E57" i="2"/>
  <c r="F57" i="2" s="1"/>
  <c r="J56" i="2"/>
  <c r="K56" i="2" s="1"/>
  <c r="E56" i="2"/>
  <c r="F56" i="2" s="1"/>
  <c r="J55" i="2"/>
  <c r="K55" i="2" s="1"/>
  <c r="E55" i="2"/>
  <c r="F55" i="2" s="1"/>
  <c r="J54" i="2"/>
  <c r="K54" i="2" s="1"/>
  <c r="E54" i="2"/>
  <c r="F54" i="2" s="1"/>
  <c r="J53" i="2"/>
  <c r="K53" i="2" s="1"/>
  <c r="E53" i="2"/>
  <c r="F53" i="2" s="1"/>
  <c r="J52" i="2"/>
  <c r="K52" i="2" s="1"/>
  <c r="E52" i="2"/>
  <c r="F52" i="2" s="1"/>
  <c r="J51" i="2"/>
  <c r="K51" i="2" s="1"/>
  <c r="E51" i="2"/>
  <c r="F51" i="2" s="1"/>
  <c r="J50" i="2"/>
  <c r="K50" i="2" s="1"/>
  <c r="E50" i="2"/>
  <c r="F50" i="2" s="1"/>
  <c r="J49" i="2"/>
  <c r="K49" i="2" s="1"/>
  <c r="E49" i="2"/>
  <c r="F49" i="2" s="1"/>
  <c r="J48" i="2"/>
  <c r="K48" i="2" s="1"/>
  <c r="E48" i="2"/>
  <c r="F48" i="2" s="1"/>
  <c r="J47" i="2"/>
  <c r="K47" i="2" s="1"/>
  <c r="E47" i="2"/>
  <c r="F47" i="2" s="1"/>
  <c r="J46" i="2"/>
  <c r="K46" i="2" s="1"/>
  <c r="E46" i="2"/>
  <c r="F46" i="2" s="1"/>
  <c r="J45" i="2"/>
  <c r="K45" i="2" s="1"/>
  <c r="E45" i="2"/>
  <c r="F45" i="2" s="1"/>
  <c r="J44" i="2"/>
  <c r="K44" i="2" s="1"/>
  <c r="E44" i="2"/>
  <c r="F44" i="2" s="1"/>
  <c r="J43" i="2"/>
  <c r="K43" i="2" s="1"/>
  <c r="E43" i="2"/>
  <c r="F43" i="2" s="1"/>
  <c r="J42" i="2"/>
  <c r="K42" i="2" s="1"/>
  <c r="E42" i="2"/>
  <c r="F42" i="2" s="1"/>
  <c r="J41" i="2"/>
  <c r="K41" i="2" s="1"/>
  <c r="E41" i="2"/>
  <c r="F41" i="2" s="1"/>
  <c r="J40" i="2"/>
  <c r="K40" i="2" s="1"/>
  <c r="E40" i="2"/>
  <c r="F40" i="2" s="1"/>
  <c r="J39" i="2"/>
  <c r="K39" i="2" s="1"/>
  <c r="E39" i="2"/>
  <c r="F39" i="2" s="1"/>
  <c r="J38" i="2"/>
  <c r="K38" i="2" s="1"/>
  <c r="E38" i="2"/>
  <c r="F38" i="2" s="1"/>
  <c r="J37" i="2"/>
  <c r="K37" i="2" s="1"/>
  <c r="E37" i="2"/>
  <c r="F37" i="2" s="1"/>
  <c r="J36" i="2"/>
  <c r="K36" i="2" s="1"/>
  <c r="E36" i="2"/>
  <c r="F36" i="2" s="1"/>
  <c r="J35" i="2"/>
  <c r="K35" i="2" s="1"/>
  <c r="E35" i="2"/>
  <c r="F35" i="2" s="1"/>
  <c r="J34" i="2"/>
  <c r="K34" i="2" s="1"/>
  <c r="E34" i="2"/>
  <c r="F34" i="2" s="1"/>
  <c r="J33" i="2"/>
  <c r="K33" i="2" s="1"/>
  <c r="E33" i="2"/>
  <c r="F33" i="2" s="1"/>
  <c r="J32" i="2"/>
  <c r="K32" i="2" s="1"/>
  <c r="E32" i="2"/>
  <c r="F32" i="2" s="1"/>
  <c r="J31" i="2"/>
  <c r="K31" i="2" s="1"/>
  <c r="E31" i="2"/>
  <c r="F31" i="2" s="1"/>
  <c r="J30" i="2"/>
  <c r="K30" i="2" s="1"/>
  <c r="F30" i="2"/>
  <c r="E30" i="2"/>
  <c r="J29" i="2"/>
  <c r="K29" i="2" s="1"/>
  <c r="E29" i="2"/>
  <c r="F29" i="2" s="1"/>
  <c r="J28" i="2"/>
  <c r="K28" i="2" s="1"/>
  <c r="E28" i="2"/>
  <c r="F28" i="2" s="1"/>
  <c r="J27" i="2"/>
  <c r="K27" i="2" s="1"/>
  <c r="E27" i="2"/>
  <c r="F27" i="2" s="1"/>
  <c r="J26" i="2"/>
  <c r="K26" i="2" s="1"/>
  <c r="E26" i="2"/>
  <c r="F26" i="2" s="1"/>
  <c r="J25" i="2"/>
  <c r="K25" i="2" s="1"/>
  <c r="E25" i="2"/>
  <c r="F25" i="2" s="1"/>
  <c r="J24" i="2"/>
  <c r="K24" i="2" s="1"/>
  <c r="E24" i="2"/>
  <c r="F24" i="2" s="1"/>
  <c r="J23" i="2"/>
  <c r="K23" i="2" s="1"/>
  <c r="E23" i="2"/>
  <c r="F23" i="2" s="1"/>
  <c r="J22" i="2"/>
  <c r="K22" i="2" s="1"/>
  <c r="E22" i="2"/>
  <c r="F22" i="2" s="1"/>
  <c r="J21" i="2"/>
  <c r="K21" i="2" s="1"/>
  <c r="E21" i="2"/>
  <c r="F21" i="2" s="1"/>
  <c r="J20" i="2"/>
  <c r="K20" i="2" s="1"/>
  <c r="E20" i="2"/>
  <c r="F20" i="2" s="1"/>
  <c r="J19" i="2"/>
  <c r="K19" i="2" s="1"/>
  <c r="E19" i="2"/>
  <c r="F19" i="2" s="1"/>
  <c r="J18" i="2"/>
  <c r="K18" i="2" s="1"/>
  <c r="E18" i="2"/>
  <c r="F18" i="2" s="1"/>
  <c r="J17" i="2"/>
  <c r="K17" i="2" s="1"/>
  <c r="E17" i="2"/>
  <c r="F17" i="2" s="1"/>
  <c r="J16" i="2"/>
  <c r="K16" i="2" s="1"/>
  <c r="E16" i="2"/>
  <c r="F16" i="2" s="1"/>
  <c r="J15" i="2"/>
  <c r="K15" i="2" s="1"/>
  <c r="E15" i="2"/>
  <c r="F15" i="2" s="1"/>
  <c r="J14" i="2"/>
  <c r="K14" i="2" s="1"/>
  <c r="E14" i="2"/>
  <c r="F14" i="2" s="1"/>
  <c r="J13" i="2"/>
  <c r="K13" i="2" s="1"/>
  <c r="E13" i="2"/>
  <c r="F13" i="2" s="1"/>
  <c r="J12" i="2"/>
  <c r="K12" i="2" s="1"/>
  <c r="E12" i="2"/>
  <c r="F12" i="2" s="1"/>
  <c r="J11" i="2"/>
  <c r="K11" i="2" s="1"/>
  <c r="E11" i="2"/>
  <c r="F11" i="2" s="1"/>
  <c r="J10" i="2"/>
  <c r="K10" i="2" s="1"/>
  <c r="E10" i="2"/>
  <c r="F10" i="2" s="1"/>
  <c r="J9" i="2"/>
  <c r="K9" i="2" s="1"/>
  <c r="E9" i="2"/>
  <c r="F9" i="2" s="1"/>
  <c r="J8" i="2"/>
  <c r="K8" i="2" s="1"/>
  <c r="E8" i="2"/>
  <c r="F8" i="2" s="1"/>
  <c r="J7" i="2"/>
  <c r="K7" i="2" s="1"/>
  <c r="E7" i="2"/>
  <c r="F7" i="2" s="1"/>
  <c r="J6" i="2"/>
  <c r="K6" i="2" s="1"/>
  <c r="E6" i="2"/>
  <c r="F6" i="2" s="1"/>
  <c r="J5" i="2"/>
  <c r="K5" i="2" s="1"/>
  <c r="E5" i="2"/>
  <c r="F5" i="2" s="1"/>
  <c r="J4" i="2"/>
  <c r="K4" i="2" s="1"/>
  <c r="E4" i="2"/>
  <c r="F4" i="2" s="1"/>
  <c r="H196" i="1"/>
  <c r="G196" i="1"/>
  <c r="E196" i="1"/>
  <c r="D196" i="1"/>
  <c r="I195" i="1"/>
  <c r="J195" i="1" s="1"/>
  <c r="K195" i="1" s="1"/>
  <c r="F195" i="1"/>
  <c r="I194" i="1"/>
  <c r="J194" i="1" s="1"/>
  <c r="K194" i="1" s="1"/>
  <c r="F194" i="1"/>
  <c r="I193" i="1"/>
  <c r="J193" i="1" s="1"/>
  <c r="K193" i="1" s="1"/>
  <c r="F193" i="1"/>
  <c r="I192" i="1"/>
  <c r="J192" i="1" s="1"/>
  <c r="K192" i="1" s="1"/>
  <c r="F192" i="1"/>
  <c r="I191" i="1"/>
  <c r="J191" i="1" s="1"/>
  <c r="K191" i="1" s="1"/>
  <c r="F191" i="1"/>
  <c r="I190" i="1"/>
  <c r="J190" i="1" s="1"/>
  <c r="K190" i="1" s="1"/>
  <c r="F190" i="1"/>
  <c r="I189" i="1"/>
  <c r="J189" i="1" s="1"/>
  <c r="K189" i="1" s="1"/>
  <c r="F189" i="1"/>
  <c r="I188" i="1"/>
  <c r="J188" i="1" s="1"/>
  <c r="K188" i="1" s="1"/>
  <c r="F188" i="1"/>
  <c r="N187" i="1"/>
  <c r="O187" i="1" s="1"/>
  <c r="I187" i="1"/>
  <c r="J187" i="1" s="1"/>
  <c r="K187" i="1" s="1"/>
  <c r="F187" i="1"/>
  <c r="N186" i="1"/>
  <c r="O186" i="1" s="1"/>
  <c r="I186" i="1"/>
  <c r="J186" i="1" s="1"/>
  <c r="K186" i="1" s="1"/>
  <c r="F186" i="1"/>
  <c r="N185" i="1"/>
  <c r="O185" i="1" s="1"/>
  <c r="I185" i="1"/>
  <c r="J185" i="1" s="1"/>
  <c r="K185" i="1" s="1"/>
  <c r="F185" i="1"/>
  <c r="N184" i="1"/>
  <c r="O184" i="1" s="1"/>
  <c r="I184" i="1"/>
  <c r="J184" i="1" s="1"/>
  <c r="K184" i="1" s="1"/>
  <c r="F184" i="1"/>
  <c r="N183" i="1"/>
  <c r="O183" i="1" s="1"/>
  <c r="I183" i="1"/>
  <c r="J183" i="1" s="1"/>
  <c r="K183" i="1" s="1"/>
  <c r="F183" i="1"/>
  <c r="N182" i="1"/>
  <c r="O182" i="1" s="1"/>
  <c r="I182" i="1"/>
  <c r="J182" i="1" s="1"/>
  <c r="K182" i="1" s="1"/>
  <c r="F182" i="1"/>
  <c r="N181" i="1"/>
  <c r="O181" i="1" s="1"/>
  <c r="I181" i="1"/>
  <c r="J181" i="1" s="1"/>
  <c r="K181" i="1" s="1"/>
  <c r="F181" i="1"/>
  <c r="N180" i="1"/>
  <c r="O180" i="1" s="1"/>
  <c r="I180" i="1"/>
  <c r="F180" i="1"/>
  <c r="N179" i="1"/>
  <c r="O179" i="1" s="1"/>
  <c r="I179" i="1"/>
  <c r="F179" i="1"/>
  <c r="N178" i="1"/>
  <c r="O178" i="1" s="1"/>
  <c r="I178" i="1"/>
  <c r="F178" i="1"/>
  <c r="N177" i="1"/>
  <c r="O177" i="1" s="1"/>
  <c r="I177" i="1"/>
  <c r="F177" i="1"/>
  <c r="N176" i="1"/>
  <c r="O176" i="1" s="1"/>
  <c r="I176" i="1"/>
  <c r="F176" i="1"/>
  <c r="N175" i="1"/>
  <c r="O175" i="1" s="1"/>
  <c r="I175" i="1"/>
  <c r="F175" i="1"/>
  <c r="B9" i="4" s="1"/>
  <c r="N174" i="1"/>
  <c r="O174" i="1" s="1"/>
  <c r="I174" i="1"/>
  <c r="F174" i="1"/>
  <c r="B8" i="4" s="1"/>
  <c r="N173" i="1"/>
  <c r="O173" i="1" s="1"/>
  <c r="I173" i="1"/>
  <c r="F173" i="1"/>
  <c r="B7" i="4" s="1"/>
  <c r="N172" i="1"/>
  <c r="O172" i="1" s="1"/>
  <c r="I172" i="1"/>
  <c r="F172" i="1"/>
  <c r="I171" i="1"/>
  <c r="J171" i="1" s="1"/>
  <c r="K171" i="1" s="1"/>
  <c r="F171" i="1"/>
  <c r="I170" i="1"/>
  <c r="J170" i="1" s="1"/>
  <c r="K170" i="1" s="1"/>
  <c r="F170" i="1"/>
  <c r="I169" i="1"/>
  <c r="J169" i="1" s="1"/>
  <c r="K169" i="1" s="1"/>
  <c r="F169" i="1"/>
  <c r="I168" i="1"/>
  <c r="J168" i="1" s="1"/>
  <c r="K168" i="1" s="1"/>
  <c r="F168" i="1"/>
  <c r="I167" i="1"/>
  <c r="J167" i="1" s="1"/>
  <c r="K167" i="1" s="1"/>
  <c r="F167" i="1"/>
  <c r="I166" i="1"/>
  <c r="J166" i="1" s="1"/>
  <c r="K166" i="1" s="1"/>
  <c r="F166" i="1"/>
  <c r="I165" i="1"/>
  <c r="J165" i="1" s="1"/>
  <c r="K165" i="1" s="1"/>
  <c r="F165" i="1"/>
  <c r="I164" i="1"/>
  <c r="J164" i="1" s="1"/>
  <c r="K164" i="1" s="1"/>
  <c r="F164" i="1"/>
  <c r="I163" i="1"/>
  <c r="J163" i="1" s="1"/>
  <c r="K163" i="1" s="1"/>
  <c r="F163" i="1"/>
  <c r="I162" i="1"/>
  <c r="J162" i="1" s="1"/>
  <c r="K162" i="1" s="1"/>
  <c r="F162" i="1"/>
  <c r="I161" i="1"/>
  <c r="J161" i="1" s="1"/>
  <c r="K161" i="1" s="1"/>
  <c r="F161" i="1"/>
  <c r="I160" i="1"/>
  <c r="J160" i="1" s="1"/>
  <c r="K160" i="1" s="1"/>
  <c r="F160" i="1"/>
  <c r="I159" i="1"/>
  <c r="J159" i="1" s="1"/>
  <c r="K159" i="1" s="1"/>
  <c r="F159" i="1"/>
  <c r="I158" i="1"/>
  <c r="J158" i="1" s="1"/>
  <c r="K158" i="1" s="1"/>
  <c r="F158" i="1"/>
  <c r="I157" i="1"/>
  <c r="J157" i="1" s="1"/>
  <c r="K157" i="1" s="1"/>
  <c r="F157" i="1"/>
  <c r="I156" i="1"/>
  <c r="J156" i="1" s="1"/>
  <c r="K156" i="1" s="1"/>
  <c r="F156" i="1"/>
  <c r="I155" i="1"/>
  <c r="J155" i="1" s="1"/>
  <c r="K155" i="1" s="1"/>
  <c r="F155" i="1"/>
  <c r="I154" i="1"/>
  <c r="J154" i="1" s="1"/>
  <c r="K154" i="1" s="1"/>
  <c r="F154" i="1"/>
  <c r="I153" i="1"/>
  <c r="J153" i="1" s="1"/>
  <c r="K153" i="1" s="1"/>
  <c r="F153" i="1"/>
  <c r="I152" i="1"/>
  <c r="J152" i="1" s="1"/>
  <c r="K152" i="1" s="1"/>
  <c r="F152" i="1"/>
  <c r="I151" i="1"/>
  <c r="J151" i="1" s="1"/>
  <c r="K151" i="1" s="1"/>
  <c r="F151" i="1"/>
  <c r="I150" i="1"/>
  <c r="J150" i="1" s="1"/>
  <c r="K150" i="1" s="1"/>
  <c r="F150" i="1"/>
  <c r="I149" i="1"/>
  <c r="J149" i="1" s="1"/>
  <c r="K149" i="1" s="1"/>
  <c r="F149" i="1"/>
  <c r="I148" i="1"/>
  <c r="J148" i="1" s="1"/>
  <c r="K148" i="1" s="1"/>
  <c r="F148" i="1"/>
  <c r="I147" i="1"/>
  <c r="J147" i="1" s="1"/>
  <c r="K147" i="1" s="1"/>
  <c r="F147" i="1"/>
  <c r="I146" i="1"/>
  <c r="J146" i="1" s="1"/>
  <c r="K146" i="1" s="1"/>
  <c r="F146" i="1"/>
  <c r="I145" i="1"/>
  <c r="J145" i="1" s="1"/>
  <c r="K145" i="1" s="1"/>
  <c r="F145" i="1"/>
  <c r="I144" i="1"/>
  <c r="J144" i="1" s="1"/>
  <c r="K144" i="1" s="1"/>
  <c r="F144" i="1"/>
  <c r="I143" i="1"/>
  <c r="J143" i="1" s="1"/>
  <c r="K143" i="1" s="1"/>
  <c r="F143" i="1"/>
  <c r="I142" i="1"/>
  <c r="J142" i="1" s="1"/>
  <c r="K142" i="1" s="1"/>
  <c r="F142" i="1"/>
  <c r="I141" i="1"/>
  <c r="J141" i="1" s="1"/>
  <c r="K141" i="1" s="1"/>
  <c r="F141" i="1"/>
  <c r="I140" i="1"/>
  <c r="J140" i="1" s="1"/>
  <c r="K140" i="1" s="1"/>
  <c r="F140" i="1"/>
  <c r="I139" i="1"/>
  <c r="J139" i="1" s="1"/>
  <c r="K139" i="1" s="1"/>
  <c r="F139" i="1"/>
  <c r="I138" i="1"/>
  <c r="J138" i="1" s="1"/>
  <c r="K138" i="1" s="1"/>
  <c r="F138" i="1"/>
  <c r="I137" i="1"/>
  <c r="J137" i="1" s="1"/>
  <c r="K137" i="1" s="1"/>
  <c r="F137" i="1"/>
  <c r="I136" i="1"/>
  <c r="J136" i="1" s="1"/>
  <c r="K136" i="1" s="1"/>
  <c r="F136" i="1"/>
  <c r="I135" i="1"/>
  <c r="J135" i="1" s="1"/>
  <c r="K135" i="1" s="1"/>
  <c r="F135" i="1"/>
  <c r="I134" i="1"/>
  <c r="J134" i="1" s="1"/>
  <c r="K134" i="1" s="1"/>
  <c r="F134" i="1"/>
  <c r="I133" i="1"/>
  <c r="J133" i="1" s="1"/>
  <c r="K133" i="1" s="1"/>
  <c r="F133" i="1"/>
  <c r="I132" i="1"/>
  <c r="J132" i="1" s="1"/>
  <c r="K132" i="1" s="1"/>
  <c r="F132" i="1"/>
  <c r="I131" i="1"/>
  <c r="F131" i="1"/>
  <c r="I130" i="1"/>
  <c r="F130" i="1"/>
  <c r="I129" i="1"/>
  <c r="F129" i="1"/>
  <c r="B17" i="7" s="1"/>
  <c r="I128" i="1"/>
  <c r="J128" i="1" s="1"/>
  <c r="K128" i="1" s="1"/>
  <c r="F128" i="1"/>
  <c r="I127" i="1"/>
  <c r="J127" i="1" s="1"/>
  <c r="K127" i="1" s="1"/>
  <c r="F127" i="1"/>
  <c r="I126" i="1"/>
  <c r="J126" i="1" s="1"/>
  <c r="K126" i="1" s="1"/>
  <c r="F126" i="1"/>
  <c r="I125" i="1"/>
  <c r="J125" i="1" s="1"/>
  <c r="K125" i="1" s="1"/>
  <c r="F125" i="1"/>
  <c r="I124" i="1"/>
  <c r="J124" i="1" s="1"/>
  <c r="K124" i="1" s="1"/>
  <c r="F124" i="1"/>
  <c r="I123" i="1"/>
  <c r="J123" i="1" s="1"/>
  <c r="K123" i="1" s="1"/>
  <c r="F123" i="1"/>
  <c r="I122" i="1"/>
  <c r="J122" i="1" s="1"/>
  <c r="K122" i="1" s="1"/>
  <c r="F122" i="1"/>
  <c r="I121" i="1"/>
  <c r="J121" i="1" s="1"/>
  <c r="K121" i="1" s="1"/>
  <c r="F121" i="1"/>
  <c r="I120" i="1"/>
  <c r="J120" i="1" s="1"/>
  <c r="K120" i="1" s="1"/>
  <c r="F120" i="1"/>
  <c r="I119" i="1"/>
  <c r="J119" i="1" s="1"/>
  <c r="K119" i="1" s="1"/>
  <c r="F119" i="1"/>
  <c r="I118" i="1"/>
  <c r="J118" i="1" s="1"/>
  <c r="K118" i="1" s="1"/>
  <c r="F118" i="1"/>
  <c r="I117" i="1"/>
  <c r="J117" i="1" s="1"/>
  <c r="K117" i="1" s="1"/>
  <c r="F117" i="1"/>
  <c r="I116" i="1"/>
  <c r="J116" i="1" s="1"/>
  <c r="K116" i="1" s="1"/>
  <c r="F116" i="1"/>
  <c r="I115" i="1"/>
  <c r="J115" i="1" s="1"/>
  <c r="K115" i="1" s="1"/>
  <c r="F115" i="1"/>
  <c r="I114" i="1"/>
  <c r="J114" i="1" s="1"/>
  <c r="K114" i="1" s="1"/>
  <c r="F114" i="1"/>
  <c r="I113" i="1"/>
  <c r="J113" i="1" s="1"/>
  <c r="K113" i="1" s="1"/>
  <c r="F113" i="1"/>
  <c r="I112" i="1"/>
  <c r="J112" i="1" s="1"/>
  <c r="K112" i="1" s="1"/>
  <c r="F112" i="1"/>
  <c r="I111" i="1"/>
  <c r="J111" i="1" s="1"/>
  <c r="K111" i="1" s="1"/>
  <c r="F111" i="1"/>
  <c r="I110" i="1"/>
  <c r="J110" i="1" s="1"/>
  <c r="K110" i="1" s="1"/>
  <c r="F110" i="1"/>
  <c r="I109" i="1"/>
  <c r="J109" i="1" s="1"/>
  <c r="K109" i="1" s="1"/>
  <c r="F109" i="1"/>
  <c r="I108" i="1"/>
  <c r="J108" i="1" s="1"/>
  <c r="K108" i="1" s="1"/>
  <c r="F108" i="1"/>
  <c r="I107" i="1"/>
  <c r="J107" i="1" s="1"/>
  <c r="K107" i="1" s="1"/>
  <c r="F107" i="1"/>
  <c r="I106" i="1"/>
  <c r="J106" i="1" s="1"/>
  <c r="K106" i="1" s="1"/>
  <c r="F106" i="1"/>
  <c r="I105" i="1"/>
  <c r="J105" i="1" s="1"/>
  <c r="K105" i="1" s="1"/>
  <c r="F105" i="1"/>
  <c r="I104" i="1"/>
  <c r="J104" i="1" s="1"/>
  <c r="K104" i="1" s="1"/>
  <c r="F104" i="1"/>
  <c r="I103" i="1"/>
  <c r="J103" i="1" s="1"/>
  <c r="K103" i="1" s="1"/>
  <c r="F103" i="1"/>
  <c r="I102" i="1"/>
  <c r="J102" i="1" s="1"/>
  <c r="K102" i="1" s="1"/>
  <c r="F102" i="1"/>
  <c r="I101" i="1"/>
  <c r="J101" i="1" s="1"/>
  <c r="K101" i="1" s="1"/>
  <c r="F101" i="1"/>
  <c r="I100" i="1"/>
  <c r="J100" i="1" s="1"/>
  <c r="K100" i="1" s="1"/>
  <c r="F100" i="1"/>
  <c r="I99" i="1"/>
  <c r="J99" i="1" s="1"/>
  <c r="K99" i="1" s="1"/>
  <c r="F99" i="1"/>
  <c r="I98" i="1"/>
  <c r="J98" i="1" s="1"/>
  <c r="K98" i="1" s="1"/>
  <c r="F98" i="1"/>
  <c r="I97" i="1"/>
  <c r="J97" i="1" s="1"/>
  <c r="K97" i="1" s="1"/>
  <c r="F97" i="1"/>
  <c r="I96" i="1"/>
  <c r="J96" i="1" s="1"/>
  <c r="K96" i="1" s="1"/>
  <c r="F96" i="1"/>
  <c r="I95" i="1"/>
  <c r="J95" i="1" s="1"/>
  <c r="K95" i="1" s="1"/>
  <c r="F95" i="1"/>
  <c r="I94" i="1"/>
  <c r="J94" i="1" s="1"/>
  <c r="K94" i="1" s="1"/>
  <c r="F94" i="1"/>
  <c r="I93" i="1"/>
  <c r="J93" i="1" s="1"/>
  <c r="K93" i="1" s="1"/>
  <c r="F93" i="1"/>
  <c r="I92" i="1"/>
  <c r="J92" i="1" s="1"/>
  <c r="K92" i="1" s="1"/>
  <c r="F92" i="1"/>
  <c r="I91" i="1"/>
  <c r="J91" i="1" s="1"/>
  <c r="K91" i="1" s="1"/>
  <c r="F91" i="1"/>
  <c r="I90" i="1"/>
  <c r="J90" i="1" s="1"/>
  <c r="K90" i="1" s="1"/>
  <c r="F90" i="1"/>
  <c r="I89" i="1"/>
  <c r="J89" i="1" s="1"/>
  <c r="K89" i="1" s="1"/>
  <c r="F89" i="1"/>
  <c r="I88" i="1"/>
  <c r="J88" i="1" s="1"/>
  <c r="K88" i="1" s="1"/>
  <c r="F88" i="1"/>
  <c r="I87" i="1"/>
  <c r="J87" i="1" s="1"/>
  <c r="K87" i="1" s="1"/>
  <c r="F87" i="1"/>
  <c r="I86" i="1"/>
  <c r="F86" i="1"/>
  <c r="B15" i="7" s="1"/>
  <c r="I85" i="1"/>
  <c r="J85" i="1" s="1"/>
  <c r="K85" i="1" s="1"/>
  <c r="F85" i="1"/>
  <c r="I84" i="1"/>
  <c r="J84" i="1" s="1"/>
  <c r="K84" i="1" s="1"/>
  <c r="F84" i="1"/>
  <c r="I83" i="1"/>
  <c r="J83" i="1" s="1"/>
  <c r="K83" i="1" s="1"/>
  <c r="F83" i="1"/>
  <c r="I82" i="1"/>
  <c r="J82" i="1" s="1"/>
  <c r="K82" i="1" s="1"/>
  <c r="F82" i="1"/>
  <c r="I81" i="1"/>
  <c r="J81" i="1" s="1"/>
  <c r="K81" i="1" s="1"/>
  <c r="F81" i="1"/>
  <c r="I80" i="1"/>
  <c r="J80" i="1" s="1"/>
  <c r="K80" i="1" s="1"/>
  <c r="F80" i="1"/>
  <c r="I79" i="1"/>
  <c r="J79" i="1" s="1"/>
  <c r="K79" i="1" s="1"/>
  <c r="F79" i="1"/>
  <c r="I78" i="1"/>
  <c r="J78" i="1" s="1"/>
  <c r="K78" i="1" s="1"/>
  <c r="F78" i="1"/>
  <c r="I77" i="1"/>
  <c r="J77" i="1" s="1"/>
  <c r="K77" i="1" s="1"/>
  <c r="F77" i="1"/>
  <c r="I76" i="1"/>
  <c r="J76" i="1" s="1"/>
  <c r="K76" i="1" s="1"/>
  <c r="F76" i="1"/>
  <c r="I75" i="1"/>
  <c r="J75" i="1" s="1"/>
  <c r="K75" i="1" s="1"/>
  <c r="F75" i="1"/>
  <c r="I74" i="1"/>
  <c r="J74" i="1" s="1"/>
  <c r="K74" i="1" s="1"/>
  <c r="F74" i="1"/>
  <c r="I73" i="1"/>
  <c r="J73" i="1" s="1"/>
  <c r="K73" i="1" s="1"/>
  <c r="F73" i="1"/>
  <c r="I72" i="1"/>
  <c r="J72" i="1" s="1"/>
  <c r="K72" i="1" s="1"/>
  <c r="F72" i="1"/>
  <c r="I71" i="1"/>
  <c r="J71" i="1" s="1"/>
  <c r="K71" i="1" s="1"/>
  <c r="F71" i="1"/>
  <c r="I70" i="1"/>
  <c r="J70" i="1" s="1"/>
  <c r="K70" i="1" s="1"/>
  <c r="F70" i="1"/>
  <c r="I69" i="1"/>
  <c r="J69" i="1" s="1"/>
  <c r="K69" i="1" s="1"/>
  <c r="F69" i="1"/>
  <c r="I68" i="1"/>
  <c r="J68" i="1" s="1"/>
  <c r="K68" i="1" s="1"/>
  <c r="F68" i="1"/>
  <c r="I67" i="1"/>
  <c r="J67" i="1" s="1"/>
  <c r="K67" i="1" s="1"/>
  <c r="F67" i="1"/>
  <c r="I66" i="1"/>
  <c r="J66" i="1" s="1"/>
  <c r="K66" i="1" s="1"/>
  <c r="F66" i="1"/>
  <c r="I65" i="1"/>
  <c r="J65" i="1" s="1"/>
  <c r="K65" i="1" s="1"/>
  <c r="F65" i="1"/>
  <c r="I64" i="1"/>
  <c r="J64" i="1" s="1"/>
  <c r="K64" i="1" s="1"/>
  <c r="F64" i="1"/>
  <c r="I63" i="1"/>
  <c r="J63" i="1" s="1"/>
  <c r="K63" i="1" s="1"/>
  <c r="F63" i="1"/>
  <c r="I62" i="1"/>
  <c r="J62" i="1" s="1"/>
  <c r="K62" i="1" s="1"/>
  <c r="F62" i="1"/>
  <c r="I61" i="1"/>
  <c r="J61" i="1" s="1"/>
  <c r="K61" i="1" s="1"/>
  <c r="F61" i="1"/>
  <c r="I60" i="1"/>
  <c r="J60" i="1" s="1"/>
  <c r="K60" i="1" s="1"/>
  <c r="F60" i="1"/>
  <c r="I59" i="1"/>
  <c r="J59" i="1" s="1"/>
  <c r="K59" i="1" s="1"/>
  <c r="F59" i="1"/>
  <c r="I58" i="1"/>
  <c r="J58" i="1" s="1"/>
  <c r="K58" i="1" s="1"/>
  <c r="F58" i="1"/>
  <c r="I57" i="1"/>
  <c r="J57" i="1" s="1"/>
  <c r="K57" i="1" s="1"/>
  <c r="F57" i="1"/>
  <c r="I56" i="1"/>
  <c r="J56" i="1" s="1"/>
  <c r="K56" i="1" s="1"/>
  <c r="F56" i="1"/>
  <c r="I55" i="1"/>
  <c r="J55" i="1" s="1"/>
  <c r="K55" i="1" s="1"/>
  <c r="F55" i="1"/>
  <c r="I54" i="1"/>
  <c r="J54" i="1" s="1"/>
  <c r="K54" i="1" s="1"/>
  <c r="F54" i="1"/>
  <c r="I53" i="1"/>
  <c r="J53" i="1" s="1"/>
  <c r="K53" i="1" s="1"/>
  <c r="F53" i="1"/>
  <c r="I52" i="1"/>
  <c r="J52" i="1" s="1"/>
  <c r="K52" i="1" s="1"/>
  <c r="F52" i="1"/>
  <c r="I51" i="1"/>
  <c r="J51" i="1" s="1"/>
  <c r="K51" i="1" s="1"/>
  <c r="F51" i="1"/>
  <c r="I50" i="1"/>
  <c r="J50" i="1" s="1"/>
  <c r="K50" i="1" s="1"/>
  <c r="F50" i="1"/>
  <c r="I49" i="1"/>
  <c r="J49" i="1" s="1"/>
  <c r="K49" i="1" s="1"/>
  <c r="F49" i="1"/>
  <c r="I48" i="1"/>
  <c r="J48" i="1" s="1"/>
  <c r="K48" i="1" s="1"/>
  <c r="F48" i="1"/>
  <c r="I47" i="1"/>
  <c r="J47" i="1" s="1"/>
  <c r="K47" i="1" s="1"/>
  <c r="F47" i="1"/>
  <c r="I46" i="1"/>
  <c r="J46" i="1" s="1"/>
  <c r="K46" i="1" s="1"/>
  <c r="F46" i="1"/>
  <c r="I45" i="1"/>
  <c r="J45" i="1" s="1"/>
  <c r="K45" i="1" s="1"/>
  <c r="F45" i="1"/>
  <c r="I44" i="1"/>
  <c r="J44" i="1" s="1"/>
  <c r="K44" i="1" s="1"/>
  <c r="F44" i="1"/>
  <c r="I43" i="1"/>
  <c r="J43" i="1" s="1"/>
  <c r="K43" i="1" s="1"/>
  <c r="F43" i="1"/>
  <c r="J42" i="1"/>
  <c r="K42" i="1" s="1"/>
  <c r="I42" i="1"/>
  <c r="F42" i="1"/>
  <c r="I41" i="1"/>
  <c r="J41" i="1" s="1"/>
  <c r="K41" i="1" s="1"/>
  <c r="F41" i="1"/>
  <c r="I40" i="1"/>
  <c r="J40" i="1" s="1"/>
  <c r="K40" i="1" s="1"/>
  <c r="F40" i="1"/>
  <c r="I39" i="1"/>
  <c r="J39" i="1" s="1"/>
  <c r="K39" i="1" s="1"/>
  <c r="F39" i="1"/>
  <c r="I38" i="1"/>
  <c r="J38" i="1" s="1"/>
  <c r="K38" i="1" s="1"/>
  <c r="F38" i="1"/>
  <c r="I37" i="1"/>
  <c r="J37" i="1" s="1"/>
  <c r="K37" i="1" s="1"/>
  <c r="F37" i="1"/>
  <c r="I36" i="1"/>
  <c r="J36" i="1" s="1"/>
  <c r="K36" i="1" s="1"/>
  <c r="F36" i="1"/>
  <c r="I35" i="1"/>
  <c r="J35" i="1" s="1"/>
  <c r="K35" i="1" s="1"/>
  <c r="F35" i="1"/>
  <c r="I34" i="1"/>
  <c r="J34" i="1" s="1"/>
  <c r="K34" i="1" s="1"/>
  <c r="F34" i="1"/>
  <c r="I33" i="1"/>
  <c r="J33" i="1" s="1"/>
  <c r="K33" i="1" s="1"/>
  <c r="F33" i="1"/>
  <c r="I32" i="1"/>
  <c r="J32" i="1" s="1"/>
  <c r="K32" i="1" s="1"/>
  <c r="F32" i="1"/>
  <c r="I31" i="1"/>
  <c r="J31" i="1" s="1"/>
  <c r="K31" i="1" s="1"/>
  <c r="F31" i="1"/>
  <c r="I30" i="1"/>
  <c r="J30" i="1" s="1"/>
  <c r="K30" i="1" s="1"/>
  <c r="F30" i="1"/>
  <c r="I29" i="1"/>
  <c r="J29" i="1" s="1"/>
  <c r="K29" i="1" s="1"/>
  <c r="F29" i="1"/>
  <c r="I28" i="1"/>
  <c r="J28" i="1" s="1"/>
  <c r="K28" i="1" s="1"/>
  <c r="F28" i="1"/>
  <c r="I27" i="1"/>
  <c r="J27" i="1" s="1"/>
  <c r="K27" i="1" s="1"/>
  <c r="F27" i="1"/>
  <c r="I26" i="1"/>
  <c r="J26" i="1" s="1"/>
  <c r="K26" i="1" s="1"/>
  <c r="F26" i="1"/>
  <c r="I25" i="1"/>
  <c r="J25" i="1" s="1"/>
  <c r="K25" i="1" s="1"/>
  <c r="F25" i="1"/>
  <c r="I24" i="1"/>
  <c r="J24" i="1" s="1"/>
  <c r="K24" i="1" s="1"/>
  <c r="F24" i="1"/>
  <c r="I23" i="1"/>
  <c r="J23" i="1" s="1"/>
  <c r="K23" i="1" s="1"/>
  <c r="F23" i="1"/>
  <c r="I22" i="1"/>
  <c r="J22" i="1" s="1"/>
  <c r="K22" i="1" s="1"/>
  <c r="F22" i="1"/>
  <c r="I21" i="1"/>
  <c r="J21" i="1" s="1"/>
  <c r="K21" i="1" s="1"/>
  <c r="F21" i="1"/>
  <c r="I20" i="1"/>
  <c r="J20" i="1" s="1"/>
  <c r="K20" i="1" s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N12" i="1"/>
  <c r="O12" i="1" s="1"/>
  <c r="I12" i="1"/>
  <c r="F12" i="1"/>
  <c r="I11" i="1"/>
  <c r="F11" i="1"/>
  <c r="I10" i="1"/>
  <c r="F10" i="1"/>
  <c r="N9" i="1"/>
  <c r="O9" i="1" s="1"/>
  <c r="I9" i="1"/>
  <c r="F9" i="1"/>
  <c r="I8" i="1"/>
  <c r="F8" i="1"/>
  <c r="N7" i="1"/>
  <c r="O7" i="1" s="1"/>
  <c r="I7" i="1"/>
  <c r="F7" i="1"/>
  <c r="N6" i="1"/>
  <c r="O6" i="1" s="1"/>
  <c r="I6" i="1"/>
  <c r="F6" i="1"/>
  <c r="I5" i="1"/>
  <c r="F5" i="1"/>
  <c r="N4" i="1"/>
  <c r="O4" i="1" s="1"/>
  <c r="I4" i="1"/>
  <c r="F4" i="1"/>
  <c r="B10" i="7" s="1"/>
  <c r="D22" i="4" l="1"/>
  <c r="E22" i="4" s="1"/>
  <c r="E29" i="4"/>
  <c r="C5" i="7"/>
  <c r="C6" i="7"/>
  <c r="E26" i="4"/>
  <c r="F95" i="2"/>
  <c r="E100" i="2"/>
  <c r="F100" i="2" s="1"/>
  <c r="C21" i="7"/>
  <c r="J180" i="1"/>
  <c r="K180" i="1" s="1"/>
  <c r="C19" i="5"/>
  <c r="B21" i="7"/>
  <c r="J179" i="1"/>
  <c r="K179" i="1" s="1"/>
  <c r="N195" i="1"/>
  <c r="O195" i="1" s="1"/>
  <c r="J178" i="1"/>
  <c r="K178" i="1" s="1"/>
  <c r="N194" i="1"/>
  <c r="O194" i="1" s="1"/>
  <c r="J177" i="1"/>
  <c r="K177" i="1" s="1"/>
  <c r="N193" i="1"/>
  <c r="O193" i="1" s="1"/>
  <c r="N192" i="1"/>
  <c r="O192" i="1" s="1"/>
  <c r="J176" i="1"/>
  <c r="K176" i="1" s="1"/>
  <c r="N191" i="1"/>
  <c r="O191" i="1" s="1"/>
  <c r="C9" i="4"/>
  <c r="D9" i="4" s="1"/>
  <c r="E9" i="4" s="1"/>
  <c r="J175" i="1"/>
  <c r="K175" i="1" s="1"/>
  <c r="J174" i="1"/>
  <c r="K174" i="1" s="1"/>
  <c r="N190" i="1"/>
  <c r="O190" i="1" s="1"/>
  <c r="C8" i="4"/>
  <c r="D8" i="4" s="1"/>
  <c r="E8" i="4" s="1"/>
  <c r="J173" i="1"/>
  <c r="K173" i="1" s="1"/>
  <c r="C7" i="4"/>
  <c r="D7" i="4" s="1"/>
  <c r="E7" i="4" s="1"/>
  <c r="N189" i="1"/>
  <c r="O189" i="1" s="1"/>
  <c r="I196" i="1"/>
  <c r="N196" i="1" s="1"/>
  <c r="N188" i="1"/>
  <c r="O188" i="1" s="1"/>
  <c r="C20" i="7"/>
  <c r="C6" i="4"/>
  <c r="J172" i="1"/>
  <c r="K172" i="1" s="1"/>
  <c r="B6" i="4"/>
  <c r="B10" i="4" s="1"/>
  <c r="F196" i="1"/>
  <c r="B20" i="7"/>
  <c r="C18" i="5"/>
  <c r="J131" i="1"/>
  <c r="K131" i="1" s="1"/>
  <c r="N131" i="1"/>
  <c r="O131" i="1" s="1"/>
  <c r="N130" i="1"/>
  <c r="O130" i="1" s="1"/>
  <c r="J130" i="1"/>
  <c r="K130" i="1" s="1"/>
  <c r="J129" i="1"/>
  <c r="K129" i="1" s="1"/>
  <c r="C17" i="7"/>
  <c r="N129" i="1"/>
  <c r="O129" i="1" s="1"/>
  <c r="C15" i="7"/>
  <c r="J86" i="1"/>
  <c r="K86" i="1" s="1"/>
  <c r="N163" i="1"/>
  <c r="O163" i="1" s="1"/>
  <c r="N51" i="1"/>
  <c r="O51" i="1" s="1"/>
  <c r="N35" i="1"/>
  <c r="O35" i="1" s="1"/>
  <c r="N19" i="1"/>
  <c r="O19" i="1" s="1"/>
  <c r="J19" i="1"/>
  <c r="K19" i="1" s="1"/>
  <c r="N67" i="1"/>
  <c r="O67" i="1" s="1"/>
  <c r="N147" i="1"/>
  <c r="O147" i="1" s="1"/>
  <c r="N115" i="1"/>
  <c r="O115" i="1" s="1"/>
  <c r="N99" i="1"/>
  <c r="O99" i="1" s="1"/>
  <c r="N83" i="1"/>
  <c r="O83" i="1" s="1"/>
  <c r="N50" i="1"/>
  <c r="O50" i="1" s="1"/>
  <c r="N98" i="1"/>
  <c r="O98" i="1" s="1"/>
  <c r="N162" i="1"/>
  <c r="O162" i="1" s="1"/>
  <c r="N82" i="1"/>
  <c r="O82" i="1" s="1"/>
  <c r="N18" i="1"/>
  <c r="O18" i="1" s="1"/>
  <c r="J18" i="1"/>
  <c r="K18" i="1" s="1"/>
  <c r="N66" i="1"/>
  <c r="O66" i="1" s="1"/>
  <c r="N34" i="1"/>
  <c r="O34" i="1" s="1"/>
  <c r="N146" i="1"/>
  <c r="O146" i="1" s="1"/>
  <c r="N114" i="1"/>
  <c r="O114" i="1" s="1"/>
  <c r="N81" i="1"/>
  <c r="O81" i="1" s="1"/>
  <c r="N97" i="1"/>
  <c r="O97" i="1" s="1"/>
  <c r="N161" i="1"/>
  <c r="O161" i="1" s="1"/>
  <c r="N49" i="1"/>
  <c r="O49" i="1" s="1"/>
  <c r="N17" i="1"/>
  <c r="O17" i="1" s="1"/>
  <c r="J17" i="1"/>
  <c r="K17" i="1" s="1"/>
  <c r="N65" i="1"/>
  <c r="O65" i="1" s="1"/>
  <c r="N33" i="1"/>
  <c r="O33" i="1" s="1"/>
  <c r="N145" i="1"/>
  <c r="O145" i="1" s="1"/>
  <c r="N113" i="1"/>
  <c r="O113" i="1" s="1"/>
  <c r="N128" i="1"/>
  <c r="O128" i="1" s="1"/>
  <c r="N48" i="1"/>
  <c r="O48" i="1" s="1"/>
  <c r="N64" i="1"/>
  <c r="O64" i="1" s="1"/>
  <c r="N32" i="1"/>
  <c r="O32" i="1" s="1"/>
  <c r="N160" i="1"/>
  <c r="O160" i="1" s="1"/>
  <c r="N96" i="1"/>
  <c r="O96" i="1" s="1"/>
  <c r="N112" i="1"/>
  <c r="O112" i="1" s="1"/>
  <c r="N16" i="1"/>
  <c r="O16" i="1" s="1"/>
  <c r="J16" i="1"/>
  <c r="K16" i="1" s="1"/>
  <c r="N144" i="1"/>
  <c r="O144" i="1" s="1"/>
  <c r="N80" i="1"/>
  <c r="O80" i="1" s="1"/>
  <c r="N15" i="1"/>
  <c r="O15" i="1" s="1"/>
  <c r="N31" i="1"/>
  <c r="O31" i="1" s="1"/>
  <c r="N159" i="1"/>
  <c r="O159" i="1" s="1"/>
  <c r="N95" i="1"/>
  <c r="O95" i="1" s="1"/>
  <c r="N127" i="1"/>
  <c r="O127" i="1" s="1"/>
  <c r="N79" i="1"/>
  <c r="O79" i="1" s="1"/>
  <c r="N143" i="1"/>
  <c r="O143" i="1" s="1"/>
  <c r="N47" i="1"/>
  <c r="O47" i="1" s="1"/>
  <c r="N63" i="1"/>
  <c r="O63" i="1" s="1"/>
  <c r="N111" i="1"/>
  <c r="O111" i="1" s="1"/>
  <c r="J15" i="1"/>
  <c r="K15" i="1" s="1"/>
  <c r="N30" i="1"/>
  <c r="O30" i="1" s="1"/>
  <c r="N158" i="1"/>
  <c r="O158" i="1" s="1"/>
  <c r="N62" i="1"/>
  <c r="O62" i="1" s="1"/>
  <c r="N126" i="1"/>
  <c r="O126" i="1" s="1"/>
  <c r="N46" i="1"/>
  <c r="O46" i="1" s="1"/>
  <c r="N142" i="1"/>
  <c r="O142" i="1" s="1"/>
  <c r="J14" i="1"/>
  <c r="K14" i="1" s="1"/>
  <c r="N94" i="1"/>
  <c r="O94" i="1" s="1"/>
  <c r="N78" i="1"/>
  <c r="O78" i="1" s="1"/>
  <c r="N14" i="1"/>
  <c r="O14" i="1" s="1"/>
  <c r="N110" i="1"/>
  <c r="O110" i="1" s="1"/>
  <c r="N45" i="1"/>
  <c r="O45" i="1" s="1"/>
  <c r="N61" i="1"/>
  <c r="O61" i="1" s="1"/>
  <c r="N157" i="1"/>
  <c r="O157" i="1" s="1"/>
  <c r="J13" i="1"/>
  <c r="K13" i="1" s="1"/>
  <c r="N13" i="1"/>
  <c r="O13" i="1" s="1"/>
  <c r="N77" i="1"/>
  <c r="O77" i="1" s="1"/>
  <c r="N93" i="1"/>
  <c r="O93" i="1" s="1"/>
  <c r="N29" i="1"/>
  <c r="O29" i="1" s="1"/>
  <c r="N109" i="1"/>
  <c r="O109" i="1" s="1"/>
  <c r="N125" i="1"/>
  <c r="O125" i="1" s="1"/>
  <c r="N141" i="1"/>
  <c r="O141" i="1" s="1"/>
  <c r="N140" i="1"/>
  <c r="O140" i="1" s="1"/>
  <c r="N92" i="1"/>
  <c r="O92" i="1" s="1"/>
  <c r="N76" i="1"/>
  <c r="O76" i="1" s="1"/>
  <c r="N124" i="1"/>
  <c r="O124" i="1" s="1"/>
  <c r="J12" i="1"/>
  <c r="K12" i="1" s="1"/>
  <c r="N60" i="1"/>
  <c r="O60" i="1" s="1"/>
  <c r="N156" i="1"/>
  <c r="O156" i="1" s="1"/>
  <c r="N108" i="1"/>
  <c r="O108" i="1" s="1"/>
  <c r="N44" i="1"/>
  <c r="O44" i="1" s="1"/>
  <c r="N28" i="1"/>
  <c r="O28" i="1" s="1"/>
  <c r="N171" i="1"/>
  <c r="O171" i="1" s="1"/>
  <c r="N123" i="1"/>
  <c r="O123" i="1" s="1"/>
  <c r="N155" i="1"/>
  <c r="O155" i="1" s="1"/>
  <c r="N107" i="1"/>
  <c r="O107" i="1" s="1"/>
  <c r="N27" i="1"/>
  <c r="O27" i="1" s="1"/>
  <c r="N91" i="1"/>
  <c r="O91" i="1" s="1"/>
  <c r="N75" i="1"/>
  <c r="O75" i="1" s="1"/>
  <c r="N59" i="1"/>
  <c r="O59" i="1" s="1"/>
  <c r="N43" i="1"/>
  <c r="O43" i="1" s="1"/>
  <c r="N11" i="1"/>
  <c r="O11" i="1" s="1"/>
  <c r="N139" i="1"/>
  <c r="O139" i="1" s="1"/>
  <c r="J11" i="1"/>
  <c r="K11" i="1" s="1"/>
  <c r="J10" i="1"/>
  <c r="K10" i="1" s="1"/>
  <c r="N106" i="1"/>
  <c r="O106" i="1" s="1"/>
  <c r="N58" i="1"/>
  <c r="O58" i="1" s="1"/>
  <c r="N170" i="1"/>
  <c r="O170" i="1" s="1"/>
  <c r="N26" i="1"/>
  <c r="O26" i="1" s="1"/>
  <c r="N154" i="1"/>
  <c r="O154" i="1" s="1"/>
  <c r="N138" i="1"/>
  <c r="O138" i="1" s="1"/>
  <c r="N10" i="1"/>
  <c r="O10" i="1" s="1"/>
  <c r="N122" i="1"/>
  <c r="O122" i="1" s="1"/>
  <c r="N90" i="1"/>
  <c r="O90" i="1" s="1"/>
  <c r="N74" i="1"/>
  <c r="O74" i="1" s="1"/>
  <c r="N42" i="1"/>
  <c r="O42" i="1" s="1"/>
  <c r="N57" i="1"/>
  <c r="O57" i="1" s="1"/>
  <c r="N169" i="1"/>
  <c r="O169" i="1" s="1"/>
  <c r="N121" i="1"/>
  <c r="O121" i="1" s="1"/>
  <c r="N41" i="1"/>
  <c r="O41" i="1" s="1"/>
  <c r="N89" i="1"/>
  <c r="O89" i="1" s="1"/>
  <c r="J9" i="1"/>
  <c r="K9" i="1" s="1"/>
  <c r="N73" i="1"/>
  <c r="O73" i="1" s="1"/>
  <c r="N25" i="1"/>
  <c r="O25" i="1" s="1"/>
  <c r="N105" i="1"/>
  <c r="O105" i="1" s="1"/>
  <c r="N153" i="1"/>
  <c r="O153" i="1" s="1"/>
  <c r="N137" i="1"/>
  <c r="O137" i="1" s="1"/>
  <c r="J8" i="1"/>
  <c r="K8" i="1" s="1"/>
  <c r="N24" i="1"/>
  <c r="O24" i="1" s="1"/>
  <c r="N120" i="1"/>
  <c r="O120" i="1" s="1"/>
  <c r="N104" i="1"/>
  <c r="O104" i="1" s="1"/>
  <c r="N136" i="1"/>
  <c r="O136" i="1" s="1"/>
  <c r="N88" i="1"/>
  <c r="O88" i="1" s="1"/>
  <c r="N152" i="1"/>
  <c r="O152" i="1" s="1"/>
  <c r="N8" i="1"/>
  <c r="O8" i="1" s="1"/>
  <c r="N168" i="1"/>
  <c r="O168" i="1" s="1"/>
  <c r="N56" i="1"/>
  <c r="O56" i="1" s="1"/>
  <c r="N72" i="1"/>
  <c r="O72" i="1" s="1"/>
  <c r="N40" i="1"/>
  <c r="O40" i="1" s="1"/>
  <c r="J7" i="1"/>
  <c r="K7" i="1" s="1"/>
  <c r="N87" i="1"/>
  <c r="O87" i="1" s="1"/>
  <c r="N151" i="1"/>
  <c r="O151" i="1" s="1"/>
  <c r="N39" i="1"/>
  <c r="O39" i="1" s="1"/>
  <c r="N103" i="1"/>
  <c r="O103" i="1" s="1"/>
  <c r="N167" i="1"/>
  <c r="O167" i="1" s="1"/>
  <c r="N135" i="1"/>
  <c r="O135" i="1" s="1"/>
  <c r="N55" i="1"/>
  <c r="O55" i="1" s="1"/>
  <c r="N71" i="1"/>
  <c r="O71" i="1" s="1"/>
  <c r="N23" i="1"/>
  <c r="O23" i="1" s="1"/>
  <c r="N119" i="1"/>
  <c r="O119" i="1" s="1"/>
  <c r="N86" i="1"/>
  <c r="O86" i="1" s="1"/>
  <c r="N22" i="1"/>
  <c r="O22" i="1" s="1"/>
  <c r="N166" i="1"/>
  <c r="O166" i="1" s="1"/>
  <c r="N150" i="1"/>
  <c r="O150" i="1" s="1"/>
  <c r="N54" i="1"/>
  <c r="O54" i="1" s="1"/>
  <c r="N38" i="1"/>
  <c r="O38" i="1" s="1"/>
  <c r="J6" i="1"/>
  <c r="K6" i="1" s="1"/>
  <c r="N70" i="1"/>
  <c r="O70" i="1" s="1"/>
  <c r="N118" i="1"/>
  <c r="O118" i="1" s="1"/>
  <c r="N102" i="1"/>
  <c r="O102" i="1" s="1"/>
  <c r="N134" i="1"/>
  <c r="O134" i="1" s="1"/>
  <c r="J5" i="1"/>
  <c r="K5" i="1" s="1"/>
  <c r="N165" i="1"/>
  <c r="O165" i="1" s="1"/>
  <c r="N69" i="1"/>
  <c r="O69" i="1" s="1"/>
  <c r="N5" i="1"/>
  <c r="O5" i="1" s="1"/>
  <c r="N53" i="1"/>
  <c r="O53" i="1" s="1"/>
  <c r="N21" i="1"/>
  <c r="O21" i="1" s="1"/>
  <c r="N117" i="1"/>
  <c r="O117" i="1" s="1"/>
  <c r="N37" i="1"/>
  <c r="O37" i="1" s="1"/>
  <c r="N133" i="1"/>
  <c r="O133" i="1" s="1"/>
  <c r="N101" i="1"/>
  <c r="O101" i="1" s="1"/>
  <c r="N85" i="1"/>
  <c r="O85" i="1" s="1"/>
  <c r="N149" i="1"/>
  <c r="O149" i="1" s="1"/>
  <c r="N84" i="1"/>
  <c r="O84" i="1" s="1"/>
  <c r="C10" i="7"/>
  <c r="N100" i="1"/>
  <c r="O100" i="1" s="1"/>
  <c r="N20" i="1"/>
  <c r="O20" i="1" s="1"/>
  <c r="N132" i="1"/>
  <c r="O132" i="1" s="1"/>
  <c r="N36" i="1"/>
  <c r="O36" i="1" s="1"/>
  <c r="N164" i="1"/>
  <c r="O164" i="1" s="1"/>
  <c r="N68" i="1"/>
  <c r="O68" i="1" s="1"/>
  <c r="N52" i="1"/>
  <c r="O52" i="1" s="1"/>
  <c r="N116" i="1"/>
  <c r="O116" i="1" s="1"/>
  <c r="J4" i="1"/>
  <c r="N148" i="1"/>
  <c r="O148" i="1" s="1"/>
  <c r="D6" i="4" l="1"/>
  <c r="E6" i="4" s="1"/>
  <c r="C10" i="4"/>
  <c r="A6" i="7"/>
  <c r="E25" i="4"/>
  <c r="E27" i="4" s="1"/>
  <c r="G18" i="5"/>
  <c r="B19" i="5" s="1"/>
  <c r="G19" i="5" s="1"/>
  <c r="G20" i="5" s="1"/>
  <c r="C20" i="5"/>
  <c r="D16" i="7"/>
  <c r="D19" i="7"/>
  <c r="D13" i="7"/>
  <c r="D12" i="7"/>
  <c r="D18" i="7"/>
  <c r="D11" i="7"/>
  <c r="D14" i="7"/>
  <c r="D10" i="7"/>
  <c r="K4" i="1"/>
  <c r="J196" i="1"/>
  <c r="K196" i="1" s="1"/>
  <c r="O196" i="1"/>
  <c r="D20" i="7"/>
  <c r="D15" i="7"/>
  <c r="D17" i="7"/>
  <c r="D21" i="7"/>
  <c r="E28" i="4" l="1"/>
  <c r="E30" i="4" s="1"/>
  <c r="A5" i="7"/>
  <c r="D10" i="4"/>
  <c r="E10" i="4" s="1"/>
  <c r="E5" i="7" l="1"/>
  <c r="E31" i="4"/>
  <c r="G6" i="7" l="1"/>
  <c r="G5" i="7"/>
  <c r="E32" i="4"/>
  <c r="E6" i="7" s="1"/>
</calcChain>
</file>

<file path=xl/sharedStrings.xml><?xml version="1.0" encoding="utf-8"?>
<sst xmlns="http://schemas.openxmlformats.org/spreadsheetml/2006/main" count="1401" uniqueCount="168">
  <si>
    <t>Revenue Detail — FY2027 Budget vs. Actual (by Month, Region, Product Line)</t>
  </si>
  <si>
    <t>Month</t>
  </si>
  <si>
    <t>Region</t>
  </si>
  <si>
    <t>Product Line</t>
  </si>
  <si>
    <t>Budgeted Units</t>
  </si>
  <si>
    <t>Budgeted Unit Price</t>
  </si>
  <si>
    <t>Budgeted Revenue</t>
  </si>
  <si>
    <t>Actual Units</t>
  </si>
  <si>
    <t>Actual Unit Price</t>
  </si>
  <si>
    <t>Actual Revenue</t>
  </si>
  <si>
    <t>Variance $</t>
  </si>
  <si>
    <t>Variance %</t>
  </si>
  <si>
    <t>Month #</t>
  </si>
  <si>
    <t>Sales Channel</t>
  </si>
  <si>
    <t>YTD Actual Revenue</t>
  </si>
  <si>
    <t>% of FY Budget Achieved (YTD)</t>
  </si>
  <si>
    <t>Notes</t>
  </si>
  <si>
    <t>Jan</t>
  </si>
  <si>
    <t>Northeast</t>
  </si>
  <si>
    <t>Apparel</t>
  </si>
  <si>
    <t>Retail Stores</t>
  </si>
  <si>
    <t>Home Goods</t>
  </si>
  <si>
    <t>E-Commerce</t>
  </si>
  <si>
    <t>Electronics</t>
  </si>
  <si>
    <t>Outdoor</t>
  </si>
  <si>
    <t>Midwest</t>
  </si>
  <si>
    <t>South</t>
  </si>
  <si>
    <t>West</t>
  </si>
  <si>
    <t>Wholesale</t>
  </si>
  <si>
    <t>Feb</t>
  </si>
  <si>
    <t>Promotional lift exceeded expectations for this line.</t>
  </si>
  <si>
    <t>Mar</t>
  </si>
  <si>
    <t>Strong sell-through; consider raising next year's unit forecast.</t>
  </si>
  <si>
    <t>Outperformed plan on unexpected demand; monitor inventory levels.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</si>
  <si>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</si>
  <si>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</si>
  <si>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</si>
  <si>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</si>
  <si>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</si>
  <si>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</si>
  <si>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</si>
  <si>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</si>
  <si>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</si>
  <si>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</si>
  <si>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Expense Detail — FY2027 Budget vs. Actual (by Month, Department)</t>
  </si>
  <si>
    <t>Department</t>
  </si>
  <si>
    <t>Budgeted Amount</t>
  </si>
  <si>
    <t>Actual Amount</t>
  </si>
  <si>
    <t>Expense Category</t>
  </si>
  <si>
    <t>Cost Center Code</t>
  </si>
  <si>
    <t>YTD Actual Amount</t>
  </si>
  <si>
    <t>% of Annual Budget Used</t>
  </si>
  <si>
    <t>Sales</t>
  </si>
  <si>
    <t>Payroll</t>
  </si>
  <si>
    <t>CC-1000</t>
  </si>
  <si>
    <t>Marketing</t>
  </si>
  <si>
    <t>Marketing Spend</t>
  </si>
  <si>
    <t>CC-2000</t>
  </si>
  <si>
    <t>Overspend driven by higher contractor/vendor usage this month.</t>
  </si>
  <si>
    <t>Operations</t>
  </si>
  <si>
    <t>CC-3000</t>
  </si>
  <si>
    <t>IT</t>
  </si>
  <si>
    <t>Software &amp; IT</t>
  </si>
  <si>
    <t>CC-4400</t>
  </si>
  <si>
    <t>HR</t>
  </si>
  <si>
    <t>CC-5000</t>
  </si>
  <si>
    <t>Finance</t>
  </si>
  <si>
    <t>Professional Services</t>
  </si>
  <si>
    <t>CC-6000</t>
  </si>
  <si>
    <t>Customer Service</t>
  </si>
  <si>
    <t>CC-7000</t>
  </si>
  <si>
    <t>Executive</t>
  </si>
  <si>
    <t>CC-8000</t>
  </si>
  <si>
    <t>One-time expense pulled forward from a later month.</t>
  </si>
  <si>
    <t>Unplanned costs; department to provide a corrective action plan.</t>
  </si>
  <si>
    <t>FY2027 Budget vs. Actual Variance Report</t>
  </si>
  <si>
    <t>All figures pull live from Revenue Detail and Expense Detail via SUMIF.</t>
  </si>
  <si>
    <t>Revenue Variance by Product Line</t>
  </si>
  <si>
    <t>Total Revenue</t>
  </si>
  <si>
    <t>Expense Variance by Department</t>
  </si>
  <si>
    <t>Total Expense</t>
  </si>
  <si>
    <t>Net Operating Income Summary</t>
  </si>
  <si>
    <t>Budgeted Expense</t>
  </si>
  <si>
    <t>Budgeted Net Operating Income</t>
  </si>
  <si>
    <t>Actual Expense</t>
  </si>
  <si>
    <t>Actual Net Operating Income</t>
  </si>
  <si>
    <t>NOI Variance $</t>
  </si>
  <si>
    <t>NOI Variance %</t>
  </si>
  <si>
    <t>FY2027 Cash Flow Forecast — Scenario Planning</t>
  </si>
  <si>
    <t>Driven by the Active Planning Scenario on the Assumptions tab — change it there to re-forecast.</t>
  </si>
  <si>
    <t>Active Scenario:</t>
  </si>
  <si>
    <t>Revenue Multiplier:</t>
  </si>
  <si>
    <t>Expense Multiplier:</t>
  </si>
  <si>
    <t>Beginning Cash</t>
  </si>
  <si>
    <t>Cash Receipts</t>
  </si>
  <si>
    <t>Operating Disbursements</t>
  </si>
  <si>
    <t>Capital Expenditures</t>
  </si>
  <si>
    <t>Debt Service</t>
  </si>
  <si>
    <t>Ending Cash Balance</t>
  </si>
  <si>
    <t>FY2027 TOTAL</t>
  </si>
  <si>
    <t>Headcount &amp; Compensation Plan — FY2027</t>
  </si>
  <si>
    <t>Benefits Load % is applied on top of base salary to estimate fully-loaded monthly cost.</t>
  </si>
  <si>
    <t>Role</t>
  </si>
  <si>
    <t>Headcount</t>
  </si>
  <si>
    <t>Avg. Annual Salary</t>
  </si>
  <si>
    <t>Benefits Load %</t>
  </si>
  <si>
    <t>Fully-Loaded Monthly Cost</t>
  </si>
  <si>
    <t>Sales Representative</t>
  </si>
  <si>
    <t>Sales Manager</t>
  </si>
  <si>
    <t>Marketing Specialist</t>
  </si>
  <si>
    <t>Marketing Manager</t>
  </si>
  <si>
    <t>Warehouse Associate</t>
  </si>
  <si>
    <t>Operations Supervisor</t>
  </si>
  <si>
    <t>Software Engineer</t>
  </si>
  <si>
    <t>IT Support Specialist</t>
  </si>
  <si>
    <t>HR Generalist</t>
  </si>
  <si>
    <t>HR Director</t>
  </si>
  <si>
    <t>Financial Analyst</t>
  </si>
  <si>
    <t>Controller</t>
  </si>
  <si>
    <t>Customer Service Rep</t>
  </si>
  <si>
    <t>CS Supervisor</t>
  </si>
  <si>
    <t>Vice President</t>
  </si>
  <si>
    <t>Chief Executive Officer</t>
  </si>
  <si>
    <t>Note: fully-loaded monthly payroll cost above rolls up into the "Payroll" component of each department's line in Expense Detail; figures on that tab are entered independently by Finance each budget cycle.</t>
  </si>
  <si>
    <t>Meridian North Retail Co. — FY2027 Budget Dashboard</t>
  </si>
  <si>
    <t>All figures link live to Revenue Detail, Expense Detail, and the Variance Report.</t>
  </si>
  <si>
    <t>TOTAL REVENUE</t>
  </si>
  <si>
    <t>TOTAL EXPENSE</t>
  </si>
  <si>
    <t>NET OPERATING INCOME</t>
  </si>
  <si>
    <t>NOI VARIANCE</t>
  </si>
  <si>
    <t>Monthly Revenue: Budget vs. Actual</t>
  </si>
  <si>
    <t>Actual Expense by Department</t>
  </si>
  <si>
    <t>Trend</t>
  </si>
  <si>
    <t>Meridian North Retail Co. — FY2027 Budget Assumptions &amp; Drivers</t>
  </si>
  <si>
    <t>Blue cells are editable inputs. Yellow fill marks key planning levers.</t>
  </si>
  <si>
    <t>Revenue Growth Assumptions (FY2027 vs. FY2026 Actual)</t>
  </si>
  <si>
    <t>FY2026 Actual Revenue</t>
  </si>
  <si>
    <t>FY2027 Growth Rate</t>
  </si>
  <si>
    <t>Cost &amp; Operating Assumptions</t>
  </si>
  <si>
    <t>Expense Inflation Rate (FY2027 vs. FY2026)</t>
  </si>
  <si>
    <t>Effective Tax Rate</t>
  </si>
  <si>
    <t>Cash Collection Rate (% of monthly revenue collected same month)</t>
  </si>
  <si>
    <t>Starting Cash Balance (Jan 1, 2027)</t>
  </si>
  <si>
    <t>Monthly Debt Service Payment</t>
  </si>
  <si>
    <t>Scenario Planning</t>
  </si>
  <si>
    <t>Active Planning Scenario:</t>
  </si>
  <si>
    <t>Likely Case</t>
  </si>
  <si>
    <t>Scenario</t>
  </si>
  <si>
    <t>Revenue Multiplier</t>
  </si>
  <si>
    <t>Expense Multiplier</t>
  </si>
  <si>
    <t>Best Case</t>
  </si>
  <si>
    <t>Worst Case</t>
  </si>
  <si>
    <t>Selected Revenue Multiplier</t>
  </si>
  <si>
    <t>Selected Expense Multiplier</t>
  </si>
  <si>
    <t>FY2027 Department Budget Request Form</t>
  </si>
  <si>
    <t>Department:</t>
  </si>
  <si>
    <t>Cost Center Code:</t>
  </si>
  <si>
    <t>CC-4410</t>
  </si>
  <si>
    <t>Submitted By:</t>
  </si>
  <si>
    <t>J. Alvarez, IT Director</t>
  </si>
  <si>
    <t>Date Submitted:</t>
  </si>
  <si>
    <t>2026-09-15</t>
  </si>
  <si>
    <t>Instructions: select your Department above, then enter a monthly dollar request for each expense category you need funded. Blue/yellow cells are editable; the FY2027 Total and grand total at the bottom recalculate automatically. Submit one form per department per budget cycle.</t>
  </si>
  <si>
    <t>FY2027 Total</t>
  </si>
  <si>
    <t>Notes / Justification</t>
  </si>
  <si>
    <t>EXAMPLE — Software &amp; IT</t>
  </si>
  <si>
    <t>Includes SaaS license renewals (Q1) and two new laptop refresh batches (Q3/Q4).</t>
  </si>
  <si>
    <t>TOTAL DEPARTMENT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</si>
</sst>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\$#,##0.00;&quot;($&quot;#,##0.00\);\-"/>
    <numFmt numFmtId="166" formatCode="\$#,##0;&quot;($&quot;#,##0\);\-"/>
    <numFmt numFmtId="167" formatCode="0.0%;\(0.0%\);\-"/>
    <numFmt numFmtId="168" formatCode="yyyy\-mm\-dd"/>
    <numFmt numFmtId="169" formatCode="0.00\x"/>
  </numFmts>
  <fonts count="17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0F172A"/>
      <name val="Calibri"/>
      <charset val="1"/>
    </font>
    <font>
      <sz val="11"/>
      <color rgb="FF1D4ED8"/>
      <name val="Calibri"/>
      <charset val="1"/>
    </font>
    <font>
      <sz val="11"/>
      <color rgb="FF0F172A"/>
      <name val="Calibri"/>
      <charset val="1"/>
    </font>
    <font>
      <sz val="10"/>
      <color rgb="FF808080"/>
      <name val="Calibri"/>
      <charset val="1"/>
    </font>
    <font>
      <i/>
      <sz val="9"/>
      <color rgb="FF64748B"/>
      <name val="Calibri"/>
      <charset val="1"/>
    </font>
    <font>
      <b/>
      <sz val="10"/>
      <color rgb="FF0F172A"/>
      <name val="Calibri"/>
      <charset val="1"/>
    </font>
    <font>
      <b/>
      <sz val="12"/>
      <color rgb="FF2563EB"/>
      <name val="Calibri"/>
      <charset val="1"/>
    </font>
    <font>
      <sz val="11"/>
      <color rgb="FF047857"/>
      <name val="Calibri"/>
      <charset val="1"/>
    </font>
    <font>
      <b/>
      <sz val="9"/>
      <color rgb="FFFFFFFF"/>
      <name val="Calibri"/>
      <charset val="1"/>
    </font>
    <font>
      <b/>
      <sz val="20"/>
      <color rgb="FF0F172A"/>
      <name val="Calibri"/>
      <charset val="1"/>
    </font>
    <font>
      <i/>
      <sz val="9"/>
      <color rgb="FF595959"/>
      <name val="Calibri"/>
      <charset val="1"/>
    </font>
    <font>
      <sz val="8"/>
      <color rgb="FF059669"/>
      <name val="Calibri"/>
      <charset val="1"/>
    </font>
    <font>
      <sz val="8"/>
      <color rgb="FF2563EB"/>
      <name val="Calibri"/>
      <charset val="1"/>
    </font>
    <font>
      <b/>
      <sz val="11"/>
      <color rgb="FF0F172A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2563EB"/>
        <bgColor rgb="FF1D4ED8"/>
      </patternFill>
    </fill>
    <fill>
      <patternFill patternType="solid">
        <fgColor rgb="FFF8FAFC"/>
        <bgColor rgb="FFFFFFFF"/>
      </patternFill>
    </fill>
    <fill>
      <patternFill patternType="solid">
        <fgColor rgb="FFF1F5F9"/>
        <bgColor rgb="FFEFF6FF"/>
      </patternFill>
    </fill>
    <fill>
      <patternFill patternType="solid">
        <fgColor rgb="FFFFFBEB"/>
        <bgColor rgb="FFF8FAFC"/>
      </patternFill>
    </fill>
    <fill>
      <patternFill patternType="solid">
        <fgColor rgb="FFEFF6FF"/>
        <bgColor rgb="FFF1F5F9"/>
      </patternFill>
    </fill>
    <fill>
      <patternFill patternType="solid">
        <fgColor rgb="FF059669"/>
        <bgColor rgb="FF047857"/>
      </patternFill>
    </fill>
    <fill>
      <patternFill patternType="solid">
        <fgColor rgb="FFD97706"/>
        <bgColor rgb="FFFF9900"/>
      </patternFill>
    </fill>
  </fills>
  <borders count="7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medium">
        <color rgb="FF0F172A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2563EB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059669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D97706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1" xfId="0" applyFont="1" applyBorder="1"/>
    <xf numFmtId="0" fontId="8" fillId="5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166" fontId="5" fillId="4" borderId="1" xfId="0" applyNumberFormat="1" applyFont="1" applyFill="1" applyBorder="1"/>
    <xf numFmtId="167" fontId="5" fillId="4" borderId="1" xfId="0" applyNumberFormat="1" applyFont="1" applyFill="1" applyBorder="1"/>
    <xf numFmtId="164" fontId="6" fillId="5" borderId="1" xfId="0" applyNumberFormat="1" applyFont="1" applyFill="1" applyBorder="1"/>
    <xf numFmtId="0" fontId="4" fillId="4" borderId="1" xfId="0" applyFont="1" applyFill="1" applyBorder="1"/>
    <xf numFmtId="0" fontId="7" fillId="4" borderId="1" xfId="0" applyFont="1" applyFill="1" applyBorder="1" applyAlignment="1">
      <alignment vertical="top" wrapText="1"/>
    </xf>
    <xf numFmtId="164" fontId="4" fillId="0" borderId="1" xfId="0" applyNumberFormat="1" applyFont="1" applyBorder="1"/>
    <xf numFmtId="165" fontId="4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0" fontId="4" fillId="0" borderId="1" xfId="0" applyFont="1" applyBorder="1"/>
    <xf numFmtId="0" fontId="7" fillId="0" borderId="1" xfId="0" applyFont="1" applyBorder="1" applyAlignment="1">
      <alignment vertical="top" wrapText="1"/>
    </xf>
    <xf numFmtId="164" fontId="8" fillId="5" borderId="1" xfId="0" applyNumberFormat="1" applyFont="1" applyFill="1" applyBorder="1"/>
    <xf numFmtId="165" fontId="8" fillId="5" borderId="1" xfId="0" applyNumberFormat="1" applyFont="1" applyFill="1" applyBorder="1"/>
    <xf numFmtId="166" fontId="8" fillId="5" borderId="1" xfId="0" applyNumberFormat="1" applyFont="1" applyFill="1" applyBorder="1"/>
    <xf numFmtId="167" fontId="8" fillId="5" borderId="1" xfId="0" applyNumberFormat="1" applyFont="1" applyFill="1" applyBorder="1"/>
    <xf numFmtId="0" fontId="0" fillId="5" borderId="1" xfId="0" applyFill="1" applyBorder="1"/>
    <xf numFmtId="166" fontId="4" fillId="4" borderId="1" xfId="0" applyNumberFormat="1" applyFont="1" applyFill="1" applyBorder="1"/>
    <xf numFmtId="166" fontId="4" fillId="0" borderId="1" xfId="0" applyNumberFormat="1" applyFont="1" applyBorder="1"/>
    <xf numFmtId="0" fontId="8" fillId="0" borderId="0" xfId="0" applyFont="1"/>
    <xf numFmtId="0" fontId="7" fillId="5" borderId="1" xfId="0" applyFont="1" applyFill="1" applyBorder="1"/>
    <xf numFmtId="166" fontId="7" fillId="5" borderId="1" xfId="0" applyNumberFormat="1" applyFont="1" applyFill="1" applyBorder="1"/>
    <xf numFmtId="0" fontId="4" fillId="6" borderId="1" xfId="0" applyFont="1" applyFill="1" applyBorder="1"/>
    <xf numFmtId="166" fontId="4" fillId="6" borderId="1" xfId="0" applyNumberFormat="1" applyFont="1" applyFill="1" applyBorder="1"/>
    <xf numFmtId="166" fontId="10" fillId="0" borderId="1" xfId="0" applyNumberFormat="1" applyFont="1" applyBorder="1"/>
    <xf numFmtId="166" fontId="5" fillId="0" borderId="0" xfId="0" applyNumberFormat="1" applyFont="1"/>
    <xf numFmtId="166" fontId="8" fillId="7" borderId="0" xfId="0" applyNumberFormat="1" applyFont="1" applyFill="1"/>
    <xf numFmtId="167" fontId="8" fillId="7" borderId="0" xfId="0" applyNumberFormat="1" applyFont="1" applyFill="1"/>
    <xf numFmtId="0" fontId="10" fillId="7" borderId="1" xfId="0" applyFont="1" applyFill="1" applyBorder="1" applyAlignment="1">
      <alignment horizontal="center" vertical="center"/>
    </xf>
    <xf numFmtId="169" fontId="10" fillId="7" borderId="1" xfId="0" applyNumberFormat="1" applyFont="1" applyFill="1" applyBorder="1" applyAlignment="1">
      <alignment horizontal="center" vertical="center"/>
    </xf>
    <xf numFmtId="166" fontId="10" fillId="4" borderId="1" xfId="0" applyNumberFormat="1" applyFont="1" applyFill="1" applyBorder="1"/>
    <xf numFmtId="167" fontId="4" fillId="6" borderId="1" xfId="0" applyNumberFormat="1" applyFont="1" applyFill="1" applyBorder="1"/>
    <xf numFmtId="167" fontId="4" fillId="4" borderId="1" xfId="0" applyNumberFormat="1" applyFont="1" applyFill="1" applyBorder="1"/>
    <xf numFmtId="0" fontId="14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/>
    </xf>
    <xf numFmtId="169" fontId="4" fillId="6" borderId="1" xfId="0" applyNumberFormat="1" applyFont="1" applyFill="1" applyBorder="1"/>
    <xf numFmtId="169" fontId="16" fillId="7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vertical="top" wrapText="1"/>
    </xf>
    <xf numFmtId="166" fontId="12" fillId="4" borderId="3" xfId="0" applyNumberFormat="1" applyFont="1" applyFill="1" applyBorder="1" applyAlignment="1">
      <alignment horizontal="left" vertical="center" indent="1"/>
    </xf>
    <xf numFmtId="166" fontId="12" fillId="4" borderId="4" xfId="0" applyNumberFormat="1" applyFont="1" applyFill="1" applyBorder="1" applyAlignment="1">
      <alignment horizontal="left" vertical="center" indent="1"/>
    </xf>
    <xf numFmtId="166" fontId="12" fillId="4" borderId="5" xfId="0" applyNumberFormat="1" applyFont="1" applyFill="1" applyBorder="1" applyAlignment="1">
      <alignment horizontal="left" vertical="center" indent="1"/>
    </xf>
    <xf numFmtId="166" fontId="12" fillId="4" borderId="6" xfId="0" applyNumberFormat="1" applyFont="1" applyFill="1" applyBorder="1" applyAlignment="1">
      <alignment horizontal="left" vertical="center" indent="1"/>
    </xf>
    <xf numFmtId="0" fontId="13" fillId="4" borderId="3" xfId="0" applyFont="1" applyFill="1" applyBorder="1" applyAlignment="1">
      <alignment horizontal="left" vertical="center" indent="1"/>
    </xf>
    <xf numFmtId="0" fontId="13" fillId="4" borderId="4" xfId="0" applyFont="1" applyFill="1" applyBorder="1" applyAlignment="1">
      <alignment horizontal="left" vertical="center" indent="1"/>
    </xf>
    <xf numFmtId="0" fontId="13" fillId="4" borderId="5" xfId="0" applyFont="1" applyFill="1" applyBorder="1" applyAlignment="1">
      <alignment horizontal="left" vertical="center" indent="1"/>
    </xf>
    <xf numFmtId="0" fontId="13" fillId="4" borderId="6" xfId="0" applyFont="1" applyFill="1" applyBorder="1" applyAlignment="1">
      <alignment horizontal="left" vertical="center" indent="1"/>
    </xf>
    <xf numFmtId="0" fontId="11" fillId="2" borderId="3" xfId="0" applyFont="1" applyFill="1" applyBorder="1" applyAlignment="1">
      <alignment horizontal="left" vertical="center" indent="1"/>
    </xf>
    <xf numFmtId="0" fontId="11" fillId="3" borderId="4" xfId="0" applyFont="1" applyFill="1" applyBorder="1" applyAlignment="1">
      <alignment horizontal="left" vertical="center" indent="1"/>
    </xf>
    <xf numFmtId="0" fontId="11" fillId="8" borderId="5" xfId="0" applyFont="1" applyFill="1" applyBorder="1" applyAlignment="1">
      <alignment horizontal="left" vertical="center" indent="1"/>
    </xf>
    <xf numFmtId="0" fontId="11" fillId="9" borderId="6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center"/>
    </xf>
    <xf numFmtId="168" fontId="4" fillId="6" borderId="2" xfId="0" applyNumberFormat="1" applyFont="1" applyFill="1" applyBorder="1" applyAlignment="1">
      <alignment horizontal="center"/>
    </xf>
    <xf numFmtId="0" fontId="8" fillId="5" borderId="1" xfId="0" applyFont="1" applyFill="1" applyBorder="1" applyAlignment="1"/>
    <xf numFmtId="0" fontId="9" fillId="7" borderId="0" xfId="0" applyFont="1" applyFill="1" applyAlignment="1"/>
    <xf numFmtId="0" fontId="3" fillId="0" borderId="1" xfId="0" applyFont="1" applyBorder="1" applyAlignment="1"/>
    <xf numFmtId="0" fontId="8" fillId="7" borderId="1" xfId="0" applyFont="1" applyFill="1" applyBorder="1" applyAlignment="1"/>
    <xf numFmtId="0" fontId="3" fillId="0" borderId="0" xfId="0" applyFont="1" applyAlignment="1"/>
  </cellXfs>
  <cellStyles count="1">
    <cellStyle name="Normal" xfId="0" builtinId="0"/>
  </cellStyles>
  <dxfs count="21">
    <dxf>
      <font>
        <i/>
        <sz val="9"/>
        <color rgb="FF059669"/>
        <name val="Calibri"/>
        <charset val="1"/>
      </font>
    </dxf>
    <dxf>
      <font>
        <i/>
        <sz val="9"/>
        <color rgb="FFDC2626"/>
        <name val="Calibri"/>
        <charset val="1"/>
      </font>
    </dxf>
    <dxf>
      <font>
        <b/>
        <sz val="20"/>
        <color rgb="FF059669"/>
        <name val="Calibri"/>
        <charset val="1"/>
      </font>
    </dxf>
    <dxf>
      <font>
        <b/>
        <sz val="20"/>
        <color rgb="FFDC2626"/>
        <name val="Calibri"/>
        <charset val="1"/>
      </font>
    </dxf>
    <dxf>
      <font>
        <b/>
        <color rgb="FFB91C1C"/>
      </font>
      <fill>
        <patternFill>
          <bgColor rgb="FFFEE2E2"/>
        </patternFill>
      </fill>
    </dxf>
    <dxf>
      <font>
        <color rgb="FF047857"/>
      </font>
      <fill>
        <patternFill>
          <bgColor rgb="FFD1FAE5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047857"/>
      </font>
      <fill>
        <patternFill>
          <bgColor rgb="FFD1FAE5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047857"/>
      </font>
      <fill>
        <patternFill>
          <bgColor rgb="FFD1FAE5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047857"/>
      </font>
      <fill>
        <patternFill>
          <bgColor rgb="FFD1FAE5"/>
        </patternFill>
      </fill>
    </dxf>
    <dxf>
      <font>
        <color rgb="FF047857"/>
      </font>
      <fill>
        <patternFill>
          <bgColor rgb="FFD1FAE5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047857"/>
      </font>
      <fill>
        <patternFill>
          <bgColor rgb="FFD1FAE5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047857"/>
      </font>
      <fill>
        <patternFill>
          <bgColor rgb="FFD1FAE5"/>
        </patternFill>
      </fill>
    </dxf>
    <dxf>
      <font>
        <color rgb="FFB91C1C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E2E8F0"/>
      <rgbColor rgb="FF808080"/>
      <rgbColor rgb="FF94A3B8"/>
      <rgbColor rgb="FFB91C1C"/>
      <rgbColor rgb="FFFEF3C7"/>
      <rgbColor rgb="FFEFF6FF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F1F5F9"/>
      <rgbColor rgb="FFD1FAE5"/>
      <rgbColor rgb="FFFFFBEB"/>
      <rgbColor rgb="FFF8FAFC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4748B"/>
      <rgbColor rgb="FF878787"/>
      <rgbColor rgb="FF003366"/>
      <rgbColor rgb="FF0891B2"/>
      <rgbColor rgb="FF0F172A"/>
      <rgbColor rgb="FF333300"/>
      <rgbColor rgb="FF92400E"/>
      <rgbColor rgb="FF7C3AED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FY2027 Ending Cash Balance by Month (Selected Scenario)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'Cash Flow Forecast'!$G$7</c:f>
              <c:strCache>
                <c:ptCount val="1"/>
                <c:pt idx="0">
                  <c:v>Ending Cash Balance</c:v>
                </c:pt>
              </c:strCache>
            </c:strRef>
          </c:tx>
          <c:spPr>
            <a:ln w="2484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 Forecast'!$A$8:$A$19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'Cash Flow Forecast'!$G$8:$G$19</c:f>
              <c:numCache>
                <c:formatCode>\$#,##0;"($"#,##0\);\-</c:formatCode>
                <c:ptCount val="12"/>
                <c:pt idx="0">
                  <c:v>971185.59999999986</c:v>
                </c:pt>
                <c:pt idx="1">
                  <c:v>1136620.8896000003</c:v>
                </c:pt>
                <c:pt idx="2">
                  <c:v>1419291.1087999996</c:v>
                </c:pt>
                <c:pt idx="3">
                  <c:v>1640315.9311999995</c:v>
                </c:pt>
                <c:pt idx="4">
                  <c:v>1999355.6751999995</c:v>
                </c:pt>
                <c:pt idx="5">
                  <c:v>2447624.0735999998</c:v>
                </c:pt>
                <c:pt idx="6">
                  <c:v>2860647.568</c:v>
                </c:pt>
                <c:pt idx="7">
                  <c:v>3329325.1311999997</c:v>
                </c:pt>
                <c:pt idx="8">
                  <c:v>3671669.2192000002</c:v>
                </c:pt>
                <c:pt idx="9">
                  <c:v>4150198.6063999999</c:v>
                </c:pt>
                <c:pt idx="10">
                  <c:v>4972164.0192</c:v>
                </c:pt>
                <c:pt idx="11">
                  <c:v>6036344.0656000003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D-42D9-B05C-D0ED39FB9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434661"/>
        <c:axId val="68063871"/>
      </c:lineChart>
      <c:catAx>
        <c:axId val="674346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063871"/>
        <c:crosses val="autoZero"/>
        <c:auto val="1"/>
        <c:lblAlgn val="ctr"/>
        <c:lblOffset val="100"/>
        <c:noMultiLvlLbl val="0"/>
      </c:catAx>
      <c:valAx>
        <c:axId val="68063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Cash 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4346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Revenue: Budget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Budgeted Revenue</c:v>
                </c:pt>
              </c:strCache>
            </c:strRef>
          </c:tx>
          <c:spPr>
            <a:ln w="15120">
              <a:solidFill>
                <a:srgbClr val="94A3B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Dashboard!$B$10:$B$21</c:f>
              <c:numCache>
                <c:formatCode>\$#,##0;"($"#,##0\);\-</c:formatCode>
                <c:ptCount val="12"/>
                <c:pt idx="0">
                  <c:v>1207610</c:v>
                </c:pt>
                <c:pt idx="1">
                  <c:v>1240161.7600000002</c:v>
                </c:pt>
                <c:pt idx="2">
                  <c:v>1376501.2699999996</c:v>
                </c:pt>
                <c:pt idx="3">
                  <c:v>1453977.9400000002</c:v>
                </c:pt>
                <c:pt idx="4">
                  <c:v>1487366.4000000001</c:v>
                </c:pt>
                <c:pt idx="5">
                  <c:v>1565784.79</c:v>
                </c:pt>
                <c:pt idx="6">
                  <c:v>1524597.3900000001</c:v>
                </c:pt>
                <c:pt idx="7">
                  <c:v>1588196.4199999997</c:v>
                </c:pt>
                <c:pt idx="8">
                  <c:v>1502092.8</c:v>
                </c:pt>
                <c:pt idx="9">
                  <c:v>1686473.3199999998</c:v>
                </c:pt>
                <c:pt idx="10">
                  <c:v>2082900.4300000002</c:v>
                </c:pt>
                <c:pt idx="11">
                  <c:v>2345163.59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B4-4B88-A8DA-8120B7EE0FBD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Actual Revenue</c:v>
                </c:pt>
              </c:strCache>
            </c:strRef>
          </c:tx>
          <c:spPr>
            <a:ln w="2484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Dashboard!$C$10:$C$21</c:f>
              <c:numCache>
                <c:formatCode>\$#,##0;"($"#,##0\);\-</c:formatCode>
                <c:ptCount val="12"/>
                <c:pt idx="0">
                  <c:v>1228606.73</c:v>
                </c:pt>
                <c:pt idx="1">
                  <c:v>1267157.9600000002</c:v>
                </c:pt>
                <c:pt idx="2">
                  <c:v>1426009.7400000002</c:v>
                </c:pt>
                <c:pt idx="3">
                  <c:v>1461741.8699999999</c:v>
                </c:pt>
                <c:pt idx="4">
                  <c:v>1475662.29</c:v>
                </c:pt>
                <c:pt idx="5">
                  <c:v>1625131.8</c:v>
                </c:pt>
                <c:pt idx="6">
                  <c:v>1549051.55</c:v>
                </c:pt>
                <c:pt idx="7">
                  <c:v>1608495.0600000003</c:v>
                </c:pt>
                <c:pt idx="8">
                  <c:v>1506837.06</c:v>
                </c:pt>
                <c:pt idx="9">
                  <c:v>1710714.6900000002</c:v>
                </c:pt>
                <c:pt idx="10">
                  <c:v>2106741.73</c:v>
                </c:pt>
                <c:pt idx="11">
                  <c:v>2402495.61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B4-4B88-A8DA-8120B7EE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917271"/>
        <c:axId val="89633085"/>
      </c:lineChart>
      <c:catAx>
        <c:axId val="54917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633085"/>
        <c:crosses val="autoZero"/>
        <c:auto val="1"/>
        <c:lblAlgn val="ctr"/>
        <c:lblOffset val="100"/>
        <c:noMultiLvlLbl val="0"/>
      </c:catAx>
      <c:valAx>
        <c:axId val="89633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9172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Actual Expense by Department (FY2027)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Dashboard!$F$9</c:f>
              <c:strCache>
                <c:ptCount val="1"/>
                <c:pt idx="0">
                  <c:v>Actual Expense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Dashboard!$E$10:$E$17</c:f>
              <c:strCache>
                <c:ptCount val="8"/>
                <c:pt idx="0">
                  <c:v>Sales</c:v>
                </c:pt>
                <c:pt idx="1">
                  <c:v>Marketing</c:v>
                </c:pt>
                <c:pt idx="2">
                  <c:v>Operations</c:v>
                </c:pt>
                <c:pt idx="3">
                  <c:v>IT</c:v>
                </c:pt>
                <c:pt idx="4">
                  <c:v>HR</c:v>
                </c:pt>
                <c:pt idx="5">
                  <c:v>Finance</c:v>
                </c:pt>
                <c:pt idx="6">
                  <c:v>Customer Service</c:v>
                </c:pt>
                <c:pt idx="7">
                  <c:v>Executive</c:v>
                </c:pt>
              </c:strCache>
            </c:strRef>
          </c:cat>
          <c:val>
            <c:numRef>
              <c:f>Dashboard!$F$10:$F$17</c:f>
              <c:numCache>
                <c:formatCode>\$#,##0;"($"#,##0\);\-</c:formatCode>
                <c:ptCount val="8"/>
                <c:pt idx="0">
                  <c:v>2172994</c:v>
                </c:pt>
                <c:pt idx="1">
                  <c:v>2068173</c:v>
                </c:pt>
                <c:pt idx="2">
                  <c:v>3242278</c:v>
                </c:pt>
                <c:pt idx="3">
                  <c:v>1175166</c:v>
                </c:pt>
                <c:pt idx="4">
                  <c:v>714025</c:v>
                </c:pt>
                <c:pt idx="5">
                  <c:v>857492</c:v>
                </c:pt>
                <c:pt idx="6">
                  <c:v>1094062</c:v>
                </c:pt>
                <c:pt idx="7">
                  <c:v>1383220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4-46D8-8288-D9FF89A48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1972"/>
        <c:axId val="73118273"/>
      </c:barChart>
      <c:catAx>
        <c:axId val="566219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118273"/>
        <c:crosses val="autoZero"/>
        <c:auto val="1"/>
        <c:lblAlgn val="ctr"/>
        <c:lblOffset val="100"/>
        <c:noMultiLvlLbl val="0"/>
      </c:catAx>
      <c:valAx>
        <c:axId val="731182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Expense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6219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6</xdr:col>
      <xdr:colOff>589320</xdr:colOff>
      <xdr:row>37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5</xdr:col>
      <xdr:colOff>833400</xdr:colOff>
      <xdr:row>38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0</xdr:rowOff>
    </xdr:from>
    <xdr:to>
      <xdr:col>11</xdr:col>
      <xdr:colOff>559080</xdr:colOff>
      <xdr:row>38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venueDetailTable" displayName="RevenueDetailTable" ref="A3:P195" totalsRowShown="0">
  <autoFilter ref="A3:P195" xr:uid="{00000000-0009-0000-0100-000003000000}"/>
  <tableColumns count="16">
    <tableColumn id="1" xr3:uid="{00000000-0010-0000-0000-000001000000}" name="Month"/>
    <tableColumn id="2" xr3:uid="{00000000-0010-0000-0000-000002000000}" name="Region"/>
    <tableColumn id="3" xr3:uid="{00000000-0010-0000-0000-000003000000}" name="Product Line"/>
    <tableColumn id="4" xr3:uid="{00000000-0010-0000-0000-000004000000}" name="Budgeted Units"/>
    <tableColumn id="5" xr3:uid="{00000000-0010-0000-0000-000005000000}" name="Budgeted Unit Price"/>
    <tableColumn id="6" xr3:uid="{00000000-0010-0000-0000-000006000000}" name="Budgeted Revenue"/>
    <tableColumn id="7" xr3:uid="{00000000-0010-0000-0000-000007000000}" name="Actual Units"/>
    <tableColumn id="8" xr3:uid="{00000000-0010-0000-0000-000008000000}" name="Actual Unit Price"/>
    <tableColumn id="9" xr3:uid="{00000000-0010-0000-0000-000009000000}" name="Actual Revenue"/>
    <tableColumn id="10" xr3:uid="{00000000-0010-0000-0000-00000A000000}" name="Variance $"/>
    <tableColumn id="11" xr3:uid="{00000000-0010-0000-0000-00000B000000}" name="Variance %"/>
    <tableColumn id="12" xr3:uid="{00000000-0010-0000-0000-00000C000000}" name="Month #"/>
    <tableColumn id="13" xr3:uid="{00000000-0010-0000-0000-00000D000000}" name="Sales Channel"/>
    <tableColumn id="14" xr3:uid="{00000000-0010-0000-0000-00000E000000}" name="YTD Actual Revenue"/>
    <tableColumn id="15" xr3:uid="{00000000-0010-0000-0000-00000F000000}" name="% of FY Budget Achieved (YTD)"/>
    <tableColumn id="16" xr3:uid="{00000000-0010-0000-0000-000010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ExpenseDetailTable" displayName="ExpenseDetailTable" ref="A3:L99" totalsRowShown="0">
  <autoFilter ref="A3:L99" xr:uid="{00000000-0009-0000-0100-000001000000}"/>
  <tableColumns count="12">
    <tableColumn id="1" xr3:uid="{00000000-0010-0000-0100-000001000000}" name="Month"/>
    <tableColumn id="2" xr3:uid="{00000000-0010-0000-0100-000002000000}" name="Department"/>
    <tableColumn id="3" xr3:uid="{00000000-0010-0000-0100-000003000000}" name="Budgeted Amount"/>
    <tableColumn id="4" xr3:uid="{00000000-0010-0000-0100-000004000000}" name="Actual Amount"/>
    <tableColumn id="5" xr3:uid="{00000000-0010-0000-0100-000005000000}" name="Variance $"/>
    <tableColumn id="6" xr3:uid="{00000000-0010-0000-0100-000006000000}" name="Variance %"/>
    <tableColumn id="7" xr3:uid="{00000000-0010-0000-0100-000007000000}" name="Expense Category"/>
    <tableColumn id="8" xr3:uid="{00000000-0010-0000-0100-000008000000}" name="Cost Center Code"/>
    <tableColumn id="9" xr3:uid="{00000000-0010-0000-0100-000009000000}" name="Month #"/>
    <tableColumn id="10" xr3:uid="{00000000-0010-0000-0100-00000A000000}" name="YTD Actual Amount"/>
    <tableColumn id="11" xr3:uid="{00000000-0010-0000-0100-00000B000000}" name="% of Annual Budget Used"/>
    <tableColumn id="12" xr3:uid="{00000000-0010-0000-0100-00000C000000}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HeadcountPlanTable" displayName="HeadcountPlanTable" ref="A4:F20" totalsRowShown="0">
  <autoFilter ref="A4:F20" xr:uid="{00000000-0009-0000-0100-000002000000}"/>
  <tableColumns count="6">
    <tableColumn id="1" xr3:uid="{00000000-0010-0000-0200-000001000000}" name="Department"/>
    <tableColumn id="2" xr3:uid="{00000000-0010-0000-0200-000002000000}" name="Role"/>
    <tableColumn id="3" xr3:uid="{00000000-0010-0000-0200-000003000000}" name="Headcount"/>
    <tableColumn id="4" xr3:uid="{00000000-0010-0000-0200-000004000000}" name="Avg. Annual Salary"/>
    <tableColumn id="5" xr3:uid="{00000000-0010-0000-0200-000005000000}" name="Benefits Load %"/>
    <tableColumn id="6" xr3:uid="{00000000-0010-0000-0200-000006000000}" name="Fully-Loaded Monthly Cos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9669"/>
  </sheetPr>
  <dimension ref="A1:P196"/>
  <sheetViews>
    <sheetView showGridLines="0" tabSelected="1" zoomScaleNormal="100" workbookViewId="0">
      <pane ySplit="3" topLeftCell="A4" activePane="bottomLeft" state="frozen"/>
      <selection pane="bottomLeft" sqref="A1:P1"/>
    </sheetView>
  </sheetViews>
  <sheetFormatPr defaultColWidth="8.7109375" defaultRowHeight="15"/>
  <cols>
    <col min="1" max="1" width="8" customWidth="1"/>
    <col min="2" max="2" width="12" customWidth="1"/>
    <col min="3" max="3" width="13" customWidth="1"/>
    <col min="4" max="4" width="12" customWidth="1"/>
    <col min="5" max="5" width="14" customWidth="1"/>
    <col min="6" max="6" width="15" customWidth="1"/>
    <col min="7" max="7" width="12" customWidth="1"/>
    <col min="8" max="8" width="14" customWidth="1"/>
    <col min="9" max="9" width="15" customWidth="1"/>
    <col min="10" max="10" width="13" customWidth="1"/>
    <col min="11" max="11" width="11" customWidth="1"/>
    <col min="12" max="12" width="9" customWidth="1"/>
    <col min="13" max="13" width="14" customWidth="1"/>
    <col min="14" max="14" width="16" customWidth="1"/>
    <col min="15" max="15" width="18" customWidth="1"/>
    <col min="16" max="16" width="30" customWidth="1"/>
  </cols>
  <sheetData>
    <row r="1" spans="1:16" ht="25.5" customHeight="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3" spans="1:16" ht="3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1:16">
      <c r="A4" s="4" t="s">
        <v>17</v>
      </c>
      <c r="B4" s="4" t="s">
        <v>18</v>
      </c>
      <c r="C4" s="4" t="s">
        <v>19</v>
      </c>
      <c r="D4" s="5">
        <v>1804</v>
      </c>
      <c r="E4" s="6">
        <v>45</v>
      </c>
      <c r="F4" s="7">
        <f t="shared" ref="F4:F35" si="0">D4*E4</f>
        <v>81180</v>
      </c>
      <c r="G4" s="5">
        <v>1872</v>
      </c>
      <c r="H4" s="6">
        <v>44.16</v>
      </c>
      <c r="I4" s="7">
        <f t="shared" ref="I4:I35" si="1">G4*H4</f>
        <v>82667.51999999999</v>
      </c>
      <c r="J4" s="7">
        <f t="shared" ref="J4:J35" si="2">I4-F4</f>
        <v>1487.5199999999895</v>
      </c>
      <c r="K4" s="8">
        <f t="shared" ref="K4:K35" si="3">IFERROR(J4/F4,0)</f>
        <v>1.8323725055432245E-2</v>
      </c>
      <c r="L4" s="9">
        <v>1</v>
      </c>
      <c r="M4" s="10" t="s">
        <v>20</v>
      </c>
      <c r="N4" s="7">
        <f t="shared" ref="N4:N35" si="4">SUMIFS($I$4:$I$195,$B$4:$B$195,B4,$C$4:$C$195,C4,$L$4:$L$195,"&lt;="&amp;L4)</f>
        <v>82667.51999999999</v>
      </c>
      <c r="O4" s="8">
        <f t="shared" ref="O4:O35" si="5">IFERROR(N4/SUMIFS($F$4:$F$195,$B$4:$B$195,B4,$C$4:$C$195,C4),0)</f>
        <v>6.4515293228814219E-2</v>
      </c>
      <c r="P4" s="11"/>
    </row>
    <row r="5" spans="1:16">
      <c r="A5" s="1" t="s">
        <v>17</v>
      </c>
      <c r="B5" s="1" t="s">
        <v>18</v>
      </c>
      <c r="C5" s="1" t="s">
        <v>21</v>
      </c>
      <c r="D5" s="12">
        <v>1082</v>
      </c>
      <c r="E5" s="13">
        <v>65</v>
      </c>
      <c r="F5" s="14">
        <f t="shared" si="0"/>
        <v>70330</v>
      </c>
      <c r="G5" s="12">
        <v>1033</v>
      </c>
      <c r="H5" s="13">
        <v>66.09</v>
      </c>
      <c r="I5" s="14">
        <f t="shared" si="1"/>
        <v>68270.97</v>
      </c>
      <c r="J5" s="14">
        <f t="shared" si="2"/>
        <v>-2059.0299999999988</v>
      </c>
      <c r="K5" s="15">
        <f t="shared" si="3"/>
        <v>-2.927669557798946E-2</v>
      </c>
      <c r="L5" s="9">
        <v>1</v>
      </c>
      <c r="M5" s="16" t="s">
        <v>22</v>
      </c>
      <c r="N5" s="14">
        <f t="shared" si="4"/>
        <v>68270.97</v>
      </c>
      <c r="O5" s="15">
        <f t="shared" si="5"/>
        <v>6.1476387000415106E-2</v>
      </c>
      <c r="P5" s="17"/>
    </row>
    <row r="6" spans="1:16">
      <c r="A6" s="4" t="s">
        <v>17</v>
      </c>
      <c r="B6" s="4" t="s">
        <v>18</v>
      </c>
      <c r="C6" s="4" t="s">
        <v>23</v>
      </c>
      <c r="D6" s="5">
        <v>451</v>
      </c>
      <c r="E6" s="6">
        <v>220</v>
      </c>
      <c r="F6" s="7">
        <f t="shared" si="0"/>
        <v>99220</v>
      </c>
      <c r="G6" s="5">
        <v>491</v>
      </c>
      <c r="H6" s="6">
        <v>216.56</v>
      </c>
      <c r="I6" s="7">
        <f t="shared" si="1"/>
        <v>106330.96</v>
      </c>
      <c r="J6" s="7">
        <f t="shared" si="2"/>
        <v>7110.9600000000064</v>
      </c>
      <c r="K6" s="8">
        <f t="shared" si="3"/>
        <v>7.1668615198548738E-2</v>
      </c>
      <c r="L6" s="9">
        <v>1</v>
      </c>
      <c r="M6" s="10" t="s">
        <v>20</v>
      </c>
      <c r="N6" s="7">
        <f t="shared" si="4"/>
        <v>106330.96</v>
      </c>
      <c r="O6" s="8">
        <f t="shared" si="5"/>
        <v>6.7888434636311737E-2</v>
      </c>
      <c r="P6" s="11"/>
    </row>
    <row r="7" spans="1:16">
      <c r="A7" s="1" t="s">
        <v>17</v>
      </c>
      <c r="B7" s="1" t="s">
        <v>18</v>
      </c>
      <c r="C7" s="1" t="s">
        <v>24</v>
      </c>
      <c r="D7" s="12">
        <v>722</v>
      </c>
      <c r="E7" s="13">
        <v>95</v>
      </c>
      <c r="F7" s="14">
        <f t="shared" si="0"/>
        <v>68590</v>
      </c>
      <c r="G7" s="12">
        <v>661</v>
      </c>
      <c r="H7" s="13">
        <v>94.14</v>
      </c>
      <c r="I7" s="14">
        <f t="shared" si="1"/>
        <v>62226.54</v>
      </c>
      <c r="J7" s="14">
        <f t="shared" si="2"/>
        <v>-6363.4599999999991</v>
      </c>
      <c r="K7" s="15">
        <f t="shared" si="3"/>
        <v>-9.2775331681003048E-2</v>
      </c>
      <c r="L7" s="9">
        <v>1</v>
      </c>
      <c r="M7" s="16" t="s">
        <v>22</v>
      </c>
      <c r="N7" s="14">
        <f t="shared" si="4"/>
        <v>62226.54</v>
      </c>
      <c r="O7" s="15">
        <f t="shared" si="5"/>
        <v>5.7507869765296066E-2</v>
      </c>
      <c r="P7" s="17"/>
    </row>
    <row r="8" spans="1:16">
      <c r="A8" s="4" t="s">
        <v>17</v>
      </c>
      <c r="B8" s="4" t="s">
        <v>25</v>
      </c>
      <c r="C8" s="4" t="s">
        <v>19</v>
      </c>
      <c r="D8" s="5">
        <v>1443</v>
      </c>
      <c r="E8" s="6">
        <v>45</v>
      </c>
      <c r="F8" s="7">
        <f t="shared" si="0"/>
        <v>64935</v>
      </c>
      <c r="G8" s="5">
        <v>1321</v>
      </c>
      <c r="H8" s="6">
        <v>44.55</v>
      </c>
      <c r="I8" s="7">
        <f t="shared" si="1"/>
        <v>58850.549999999996</v>
      </c>
      <c r="J8" s="7">
        <f t="shared" si="2"/>
        <v>-6084.4500000000044</v>
      </c>
      <c r="K8" s="8">
        <f t="shared" si="3"/>
        <v>-9.3700623700623764E-2</v>
      </c>
      <c r="L8" s="9">
        <v>1</v>
      </c>
      <c r="M8" s="10" t="s">
        <v>22</v>
      </c>
      <c r="N8" s="7">
        <f t="shared" si="4"/>
        <v>58850.549999999996</v>
      </c>
      <c r="O8" s="8">
        <f t="shared" si="5"/>
        <v>5.7410085038320506E-2</v>
      </c>
      <c r="P8" s="11"/>
    </row>
    <row r="9" spans="1:16">
      <c r="A9" s="1" t="s">
        <v>17</v>
      </c>
      <c r="B9" s="1" t="s">
        <v>25</v>
      </c>
      <c r="C9" s="1" t="s">
        <v>21</v>
      </c>
      <c r="D9" s="12">
        <v>866</v>
      </c>
      <c r="E9" s="13">
        <v>65</v>
      </c>
      <c r="F9" s="14">
        <f t="shared" si="0"/>
        <v>56290</v>
      </c>
      <c r="G9" s="12">
        <v>882</v>
      </c>
      <c r="H9" s="13">
        <v>64.42</v>
      </c>
      <c r="I9" s="14">
        <f t="shared" si="1"/>
        <v>56818.44</v>
      </c>
      <c r="J9" s="14">
        <f t="shared" si="2"/>
        <v>528.44000000000233</v>
      </c>
      <c r="K9" s="15">
        <f t="shared" si="3"/>
        <v>9.3878131106768931E-3</v>
      </c>
      <c r="L9" s="9">
        <v>1</v>
      </c>
      <c r="M9" s="16" t="s">
        <v>22</v>
      </c>
      <c r="N9" s="14">
        <f t="shared" si="4"/>
        <v>56818.44</v>
      </c>
      <c r="O9" s="15">
        <f t="shared" si="5"/>
        <v>6.3954560174260142E-2</v>
      </c>
      <c r="P9" s="17"/>
    </row>
    <row r="10" spans="1:16">
      <c r="A10" s="4" t="s">
        <v>17</v>
      </c>
      <c r="B10" s="4" t="s">
        <v>25</v>
      </c>
      <c r="C10" s="4" t="s">
        <v>23</v>
      </c>
      <c r="D10" s="5">
        <v>361</v>
      </c>
      <c r="E10" s="6">
        <v>220</v>
      </c>
      <c r="F10" s="7">
        <f t="shared" si="0"/>
        <v>79420</v>
      </c>
      <c r="G10" s="5">
        <v>387</v>
      </c>
      <c r="H10" s="6">
        <v>215.67</v>
      </c>
      <c r="I10" s="7">
        <f t="shared" si="1"/>
        <v>83464.289999999994</v>
      </c>
      <c r="J10" s="7">
        <f t="shared" si="2"/>
        <v>4044.2899999999936</v>
      </c>
      <c r="K10" s="8">
        <f t="shared" si="3"/>
        <v>5.0922815411734997E-2</v>
      </c>
      <c r="L10" s="9">
        <v>1</v>
      </c>
      <c r="M10" s="10" t="s">
        <v>22</v>
      </c>
      <c r="N10" s="7">
        <f t="shared" si="4"/>
        <v>83464.289999999994</v>
      </c>
      <c r="O10" s="8">
        <f t="shared" si="5"/>
        <v>6.6615828084127957E-2</v>
      </c>
      <c r="P10" s="11"/>
    </row>
    <row r="11" spans="1:16">
      <c r="A11" s="1" t="s">
        <v>17</v>
      </c>
      <c r="B11" s="1" t="s">
        <v>25</v>
      </c>
      <c r="C11" s="1" t="s">
        <v>24</v>
      </c>
      <c r="D11" s="12">
        <v>577</v>
      </c>
      <c r="E11" s="13">
        <v>95</v>
      </c>
      <c r="F11" s="14">
        <f t="shared" si="0"/>
        <v>54815</v>
      </c>
      <c r="G11" s="12">
        <v>606</v>
      </c>
      <c r="H11" s="13">
        <v>94.72</v>
      </c>
      <c r="I11" s="14">
        <f t="shared" si="1"/>
        <v>57400.32</v>
      </c>
      <c r="J11" s="14">
        <f t="shared" si="2"/>
        <v>2585.3199999999997</v>
      </c>
      <c r="K11" s="15">
        <f t="shared" si="3"/>
        <v>4.7164462282222014E-2</v>
      </c>
      <c r="L11" s="9">
        <v>1</v>
      </c>
      <c r="M11" s="16" t="s">
        <v>20</v>
      </c>
      <c r="N11" s="14">
        <f t="shared" si="4"/>
        <v>57400.32</v>
      </c>
      <c r="O11" s="15">
        <f t="shared" si="5"/>
        <v>6.6316907393195207E-2</v>
      </c>
      <c r="P11" s="17"/>
    </row>
    <row r="12" spans="1:16">
      <c r="A12" s="4" t="s">
        <v>17</v>
      </c>
      <c r="B12" s="4" t="s">
        <v>26</v>
      </c>
      <c r="C12" s="4" t="s">
        <v>19</v>
      </c>
      <c r="D12" s="5">
        <v>1640</v>
      </c>
      <c r="E12" s="6">
        <v>45</v>
      </c>
      <c r="F12" s="7">
        <f t="shared" si="0"/>
        <v>73800</v>
      </c>
      <c r="G12" s="5">
        <v>1806</v>
      </c>
      <c r="H12" s="6">
        <v>44.86</v>
      </c>
      <c r="I12" s="7">
        <f t="shared" si="1"/>
        <v>81017.16</v>
      </c>
      <c r="J12" s="7">
        <f t="shared" si="2"/>
        <v>7217.1600000000035</v>
      </c>
      <c r="K12" s="8">
        <f t="shared" si="3"/>
        <v>9.7793495934959396E-2</v>
      </c>
      <c r="L12" s="9">
        <v>1</v>
      </c>
      <c r="M12" s="10" t="s">
        <v>20</v>
      </c>
      <c r="N12" s="7">
        <f t="shared" si="4"/>
        <v>81017.16</v>
      </c>
      <c r="O12" s="8">
        <f t="shared" si="5"/>
        <v>6.9550053241736715E-2</v>
      </c>
      <c r="P12" s="11"/>
    </row>
    <row r="13" spans="1:16">
      <c r="A13" s="1" t="s">
        <v>17</v>
      </c>
      <c r="B13" s="1" t="s">
        <v>26</v>
      </c>
      <c r="C13" s="1" t="s">
        <v>21</v>
      </c>
      <c r="D13" s="12">
        <v>984</v>
      </c>
      <c r="E13" s="13">
        <v>65</v>
      </c>
      <c r="F13" s="14">
        <f t="shared" si="0"/>
        <v>63960</v>
      </c>
      <c r="G13" s="12">
        <v>914</v>
      </c>
      <c r="H13" s="13">
        <v>66.45</v>
      </c>
      <c r="I13" s="14">
        <f t="shared" si="1"/>
        <v>60735.3</v>
      </c>
      <c r="J13" s="14">
        <f t="shared" si="2"/>
        <v>-3224.6999999999971</v>
      </c>
      <c r="K13" s="15">
        <f t="shared" si="3"/>
        <v>-5.0417448405253237E-2</v>
      </c>
      <c r="L13" s="9">
        <v>1</v>
      </c>
      <c r="M13" s="16" t="s">
        <v>22</v>
      </c>
      <c r="N13" s="14">
        <f t="shared" si="4"/>
        <v>60735.3</v>
      </c>
      <c r="O13" s="15">
        <f t="shared" si="5"/>
        <v>6.0159754039494327E-2</v>
      </c>
      <c r="P13" s="17"/>
    </row>
    <row r="14" spans="1:16">
      <c r="A14" s="4" t="s">
        <v>17</v>
      </c>
      <c r="B14" s="4" t="s">
        <v>26</v>
      </c>
      <c r="C14" s="4" t="s">
        <v>23</v>
      </c>
      <c r="D14" s="5">
        <v>410</v>
      </c>
      <c r="E14" s="6">
        <v>220</v>
      </c>
      <c r="F14" s="7">
        <f t="shared" si="0"/>
        <v>90200</v>
      </c>
      <c r="G14" s="5">
        <v>439</v>
      </c>
      <c r="H14" s="6">
        <v>223.63</v>
      </c>
      <c r="I14" s="7">
        <f t="shared" si="1"/>
        <v>98173.569999999992</v>
      </c>
      <c r="J14" s="7">
        <f t="shared" si="2"/>
        <v>7973.5699999999924</v>
      </c>
      <c r="K14" s="8">
        <f t="shared" si="3"/>
        <v>8.8398780487804793E-2</v>
      </c>
      <c r="L14" s="9">
        <v>1</v>
      </c>
      <c r="M14" s="10" t="s">
        <v>22</v>
      </c>
      <c r="N14" s="7">
        <f t="shared" si="4"/>
        <v>98173.569999999992</v>
      </c>
      <c r="O14" s="8">
        <f t="shared" si="5"/>
        <v>6.8953057156543096E-2</v>
      </c>
      <c r="P14" s="11"/>
    </row>
    <row r="15" spans="1:16">
      <c r="A15" s="1" t="s">
        <v>17</v>
      </c>
      <c r="B15" s="1" t="s">
        <v>26</v>
      </c>
      <c r="C15" s="1" t="s">
        <v>24</v>
      </c>
      <c r="D15" s="12">
        <v>656</v>
      </c>
      <c r="E15" s="13">
        <v>95</v>
      </c>
      <c r="F15" s="14">
        <f t="shared" si="0"/>
        <v>62320</v>
      </c>
      <c r="G15" s="12">
        <v>725</v>
      </c>
      <c r="H15" s="13">
        <v>94.9</v>
      </c>
      <c r="I15" s="14">
        <f t="shared" si="1"/>
        <v>68802.5</v>
      </c>
      <c r="J15" s="14">
        <f t="shared" si="2"/>
        <v>6482.5</v>
      </c>
      <c r="K15" s="15">
        <f t="shared" si="3"/>
        <v>0.10401957637997433</v>
      </c>
      <c r="L15" s="9">
        <v>1</v>
      </c>
      <c r="M15" s="16" t="s">
        <v>22</v>
      </c>
      <c r="N15" s="14">
        <f t="shared" si="4"/>
        <v>68802.5</v>
      </c>
      <c r="O15" s="15">
        <f t="shared" si="5"/>
        <v>6.9943707120880869E-2</v>
      </c>
      <c r="P15" s="17"/>
    </row>
    <row r="16" spans="1:16">
      <c r="A16" s="4" t="s">
        <v>17</v>
      </c>
      <c r="B16" s="4" t="s">
        <v>27</v>
      </c>
      <c r="C16" s="4" t="s">
        <v>19</v>
      </c>
      <c r="D16" s="5">
        <v>1935</v>
      </c>
      <c r="E16" s="6">
        <v>45</v>
      </c>
      <c r="F16" s="7">
        <f t="shared" si="0"/>
        <v>87075</v>
      </c>
      <c r="G16" s="5">
        <v>2082</v>
      </c>
      <c r="H16" s="6">
        <v>45.49</v>
      </c>
      <c r="I16" s="7">
        <f t="shared" si="1"/>
        <v>94710.180000000008</v>
      </c>
      <c r="J16" s="7">
        <f t="shared" si="2"/>
        <v>7635.1800000000076</v>
      </c>
      <c r="K16" s="8">
        <f t="shared" si="3"/>
        <v>8.7685099052541002E-2</v>
      </c>
      <c r="L16" s="9">
        <v>1</v>
      </c>
      <c r="M16" s="10" t="s">
        <v>28</v>
      </c>
      <c r="N16" s="7">
        <f t="shared" si="4"/>
        <v>94710.180000000008</v>
      </c>
      <c r="O16" s="8">
        <f t="shared" si="5"/>
        <v>6.8902506434307662E-2</v>
      </c>
      <c r="P16" s="11"/>
    </row>
    <row r="17" spans="1:16">
      <c r="A17" s="1" t="s">
        <v>17</v>
      </c>
      <c r="B17" s="1" t="s">
        <v>27</v>
      </c>
      <c r="C17" s="1" t="s">
        <v>21</v>
      </c>
      <c r="D17" s="12">
        <v>1161</v>
      </c>
      <c r="E17" s="13">
        <v>65</v>
      </c>
      <c r="F17" s="14">
        <f t="shared" si="0"/>
        <v>75465</v>
      </c>
      <c r="G17" s="12">
        <v>1191</v>
      </c>
      <c r="H17" s="13">
        <v>65.989999999999995</v>
      </c>
      <c r="I17" s="14">
        <f t="shared" si="1"/>
        <v>78594.09</v>
      </c>
      <c r="J17" s="14">
        <f t="shared" si="2"/>
        <v>3129.0899999999965</v>
      </c>
      <c r="K17" s="15">
        <f t="shared" si="3"/>
        <v>4.1464122440866578E-2</v>
      </c>
      <c r="L17" s="9">
        <v>1</v>
      </c>
      <c r="M17" s="16" t="s">
        <v>20</v>
      </c>
      <c r="N17" s="14">
        <f t="shared" si="4"/>
        <v>78594.09</v>
      </c>
      <c r="O17" s="15">
        <f t="shared" si="5"/>
        <v>6.597397015324688E-2</v>
      </c>
      <c r="P17" s="17"/>
    </row>
    <row r="18" spans="1:16">
      <c r="A18" s="4" t="s">
        <v>17</v>
      </c>
      <c r="B18" s="4" t="s">
        <v>27</v>
      </c>
      <c r="C18" s="4" t="s">
        <v>23</v>
      </c>
      <c r="D18" s="5">
        <v>484</v>
      </c>
      <c r="E18" s="6">
        <v>220</v>
      </c>
      <c r="F18" s="7">
        <f t="shared" si="0"/>
        <v>106480</v>
      </c>
      <c r="G18" s="5">
        <v>463</v>
      </c>
      <c r="H18" s="6">
        <v>218.78</v>
      </c>
      <c r="I18" s="7">
        <f t="shared" si="1"/>
        <v>101295.14</v>
      </c>
      <c r="J18" s="7">
        <f t="shared" si="2"/>
        <v>-5184.8600000000006</v>
      </c>
      <c r="K18" s="8">
        <f t="shared" si="3"/>
        <v>-4.8693275732531939E-2</v>
      </c>
      <c r="L18" s="9">
        <v>1</v>
      </c>
      <c r="M18" s="10" t="s">
        <v>20</v>
      </c>
      <c r="N18" s="7">
        <f t="shared" si="4"/>
        <v>101295.14</v>
      </c>
      <c r="O18" s="8">
        <f t="shared" si="5"/>
        <v>6.0288952087862543E-2</v>
      </c>
      <c r="P18" s="11"/>
    </row>
    <row r="19" spans="1:16">
      <c r="A19" s="1" t="s">
        <v>17</v>
      </c>
      <c r="B19" s="1" t="s">
        <v>27</v>
      </c>
      <c r="C19" s="1" t="s">
        <v>24</v>
      </c>
      <c r="D19" s="12">
        <v>774</v>
      </c>
      <c r="E19" s="13">
        <v>95</v>
      </c>
      <c r="F19" s="14">
        <f t="shared" si="0"/>
        <v>73530</v>
      </c>
      <c r="G19" s="12">
        <v>740</v>
      </c>
      <c r="H19" s="13">
        <v>93.58</v>
      </c>
      <c r="I19" s="14">
        <f t="shared" si="1"/>
        <v>69249.2</v>
      </c>
      <c r="J19" s="14">
        <f t="shared" si="2"/>
        <v>-4280.8000000000029</v>
      </c>
      <c r="K19" s="15">
        <f t="shared" si="3"/>
        <v>-5.8218414252686021E-2</v>
      </c>
      <c r="L19" s="9">
        <v>1</v>
      </c>
      <c r="M19" s="16" t="s">
        <v>20</v>
      </c>
      <c r="N19" s="14">
        <f t="shared" si="4"/>
        <v>69249.2</v>
      </c>
      <c r="O19" s="15">
        <f t="shared" si="5"/>
        <v>5.9659164676238774E-2</v>
      </c>
      <c r="P19" s="17"/>
    </row>
    <row r="20" spans="1:16">
      <c r="A20" s="4" t="s">
        <v>29</v>
      </c>
      <c r="B20" s="4" t="s">
        <v>18</v>
      </c>
      <c r="C20" s="4" t="s">
        <v>19</v>
      </c>
      <c r="D20" s="5">
        <v>1848</v>
      </c>
      <c r="E20" s="6">
        <v>45.11</v>
      </c>
      <c r="F20" s="7">
        <f t="shared" si="0"/>
        <v>83363.28</v>
      </c>
      <c r="G20" s="5">
        <v>1917</v>
      </c>
      <c r="H20" s="6">
        <v>45.03</v>
      </c>
      <c r="I20" s="7">
        <f t="shared" si="1"/>
        <v>86322.510000000009</v>
      </c>
      <c r="J20" s="7">
        <f t="shared" si="2"/>
        <v>2959.2300000000105</v>
      </c>
      <c r="K20" s="8">
        <f t="shared" si="3"/>
        <v>3.5498003437484833E-2</v>
      </c>
      <c r="L20" s="9">
        <v>2</v>
      </c>
      <c r="M20" s="10" t="s">
        <v>20</v>
      </c>
      <c r="N20" s="7">
        <f t="shared" si="4"/>
        <v>168990.03</v>
      </c>
      <c r="O20" s="8">
        <f t="shared" si="5"/>
        <v>0.131883009653563</v>
      </c>
      <c r="P20" s="11"/>
    </row>
    <row r="21" spans="1:16">
      <c r="A21" s="1" t="s">
        <v>29</v>
      </c>
      <c r="B21" s="1" t="s">
        <v>18</v>
      </c>
      <c r="C21" s="1" t="s">
        <v>21</v>
      </c>
      <c r="D21" s="12">
        <v>1109</v>
      </c>
      <c r="E21" s="13">
        <v>65.16</v>
      </c>
      <c r="F21" s="14">
        <f t="shared" si="0"/>
        <v>72262.44</v>
      </c>
      <c r="G21" s="12">
        <v>1056</v>
      </c>
      <c r="H21" s="13">
        <v>64.73</v>
      </c>
      <c r="I21" s="14">
        <f t="shared" si="1"/>
        <v>68354.880000000005</v>
      </c>
      <c r="J21" s="14">
        <f t="shared" si="2"/>
        <v>-3907.5599999999977</v>
      </c>
      <c r="K21" s="15">
        <f t="shared" si="3"/>
        <v>-5.4074564877687463E-2</v>
      </c>
      <c r="L21" s="9">
        <v>2</v>
      </c>
      <c r="M21" s="16" t="s">
        <v>28</v>
      </c>
      <c r="N21" s="14">
        <f t="shared" si="4"/>
        <v>136625.85</v>
      </c>
      <c r="O21" s="15">
        <f t="shared" si="5"/>
        <v>0.12302833296290742</v>
      </c>
      <c r="P21" s="17"/>
    </row>
    <row r="22" spans="1:16">
      <c r="A22" s="4" t="s">
        <v>29</v>
      </c>
      <c r="B22" s="4" t="s">
        <v>18</v>
      </c>
      <c r="C22" s="4" t="s">
        <v>23</v>
      </c>
      <c r="D22" s="5">
        <v>462</v>
      </c>
      <c r="E22" s="6">
        <v>220.55</v>
      </c>
      <c r="F22" s="7">
        <f t="shared" si="0"/>
        <v>101894.1</v>
      </c>
      <c r="G22" s="5">
        <v>480</v>
      </c>
      <c r="H22" s="6">
        <v>222.86</v>
      </c>
      <c r="I22" s="7">
        <f t="shared" si="1"/>
        <v>106972.8</v>
      </c>
      <c r="J22" s="7">
        <f t="shared" si="2"/>
        <v>5078.6999999999971</v>
      </c>
      <c r="K22" s="8">
        <f t="shared" si="3"/>
        <v>4.984292515464582E-2</v>
      </c>
      <c r="L22" s="9">
        <v>2</v>
      </c>
      <c r="M22" s="10" t="s">
        <v>20</v>
      </c>
      <c r="N22" s="7">
        <f t="shared" si="4"/>
        <v>213303.76</v>
      </c>
      <c r="O22" s="8">
        <f t="shared" si="5"/>
        <v>0.13618666067192026</v>
      </c>
      <c r="P22" s="11"/>
    </row>
    <row r="23" spans="1:16">
      <c r="A23" s="1" t="s">
        <v>29</v>
      </c>
      <c r="B23" s="1" t="s">
        <v>18</v>
      </c>
      <c r="C23" s="1" t="s">
        <v>24</v>
      </c>
      <c r="D23" s="12">
        <v>739</v>
      </c>
      <c r="E23" s="13">
        <v>95.24</v>
      </c>
      <c r="F23" s="14">
        <f t="shared" si="0"/>
        <v>70382.36</v>
      </c>
      <c r="G23" s="12">
        <v>780</v>
      </c>
      <c r="H23" s="13">
        <v>94.11</v>
      </c>
      <c r="I23" s="14">
        <f t="shared" si="1"/>
        <v>73405.8</v>
      </c>
      <c r="J23" s="14">
        <f t="shared" si="2"/>
        <v>3023.4400000000023</v>
      </c>
      <c r="K23" s="15">
        <f t="shared" si="3"/>
        <v>4.2957354655342651E-2</v>
      </c>
      <c r="L23" s="9">
        <v>2</v>
      </c>
      <c r="M23" s="16" t="s">
        <v>20</v>
      </c>
      <c r="N23" s="14">
        <f t="shared" si="4"/>
        <v>135632.34</v>
      </c>
      <c r="O23" s="15">
        <f t="shared" si="5"/>
        <v>0.12534727054858516</v>
      </c>
      <c r="P23" s="17"/>
    </row>
    <row r="24" spans="1:16" ht="24">
      <c r="A24" s="4" t="s">
        <v>29</v>
      </c>
      <c r="B24" s="4" t="s">
        <v>25</v>
      </c>
      <c r="C24" s="4" t="s">
        <v>19</v>
      </c>
      <c r="D24" s="5">
        <v>1478</v>
      </c>
      <c r="E24" s="6">
        <v>45.11</v>
      </c>
      <c r="F24" s="7">
        <f t="shared" si="0"/>
        <v>66672.58</v>
      </c>
      <c r="G24" s="5">
        <v>1637</v>
      </c>
      <c r="H24" s="6">
        <v>45.65</v>
      </c>
      <c r="I24" s="7">
        <f t="shared" si="1"/>
        <v>74729.05</v>
      </c>
      <c r="J24" s="7">
        <f t="shared" si="2"/>
        <v>8056.4700000000012</v>
      </c>
      <c r="K24" s="8">
        <f t="shared" si="3"/>
        <v>0.12083633181736782</v>
      </c>
      <c r="L24" s="9">
        <v>2</v>
      </c>
      <c r="M24" s="10" t="s">
        <v>22</v>
      </c>
      <c r="N24" s="7">
        <f t="shared" si="4"/>
        <v>133579.6</v>
      </c>
      <c r="O24" s="8">
        <f t="shared" si="5"/>
        <v>0.13031001741504267</v>
      </c>
      <c r="P24" s="11" t="s">
        <v>30</v>
      </c>
    </row>
    <row r="25" spans="1:16">
      <c r="A25" s="1" t="s">
        <v>29</v>
      </c>
      <c r="B25" s="1" t="s">
        <v>25</v>
      </c>
      <c r="C25" s="1" t="s">
        <v>21</v>
      </c>
      <c r="D25" s="12">
        <v>887</v>
      </c>
      <c r="E25" s="13">
        <v>65.16</v>
      </c>
      <c r="F25" s="14">
        <f t="shared" si="0"/>
        <v>57796.92</v>
      </c>
      <c r="G25" s="12">
        <v>865</v>
      </c>
      <c r="H25" s="13">
        <v>66.36</v>
      </c>
      <c r="I25" s="14">
        <f t="shared" si="1"/>
        <v>57401.4</v>
      </c>
      <c r="J25" s="14">
        <f t="shared" si="2"/>
        <v>-395.5199999999968</v>
      </c>
      <c r="K25" s="15">
        <f t="shared" si="3"/>
        <v>-6.84327123313832E-3</v>
      </c>
      <c r="L25" s="9">
        <v>2</v>
      </c>
      <c r="M25" s="16" t="s">
        <v>20</v>
      </c>
      <c r="N25" s="14">
        <f t="shared" si="4"/>
        <v>114219.84</v>
      </c>
      <c r="O25" s="15">
        <f t="shared" si="5"/>
        <v>0.12856529729387792</v>
      </c>
      <c r="P25" s="17"/>
    </row>
    <row r="26" spans="1:16">
      <c r="A26" s="4" t="s">
        <v>29</v>
      </c>
      <c r="B26" s="4" t="s">
        <v>25</v>
      </c>
      <c r="C26" s="4" t="s">
        <v>23</v>
      </c>
      <c r="D26" s="5">
        <v>370</v>
      </c>
      <c r="E26" s="6">
        <v>220.55</v>
      </c>
      <c r="F26" s="7">
        <f t="shared" si="0"/>
        <v>81603.5</v>
      </c>
      <c r="G26" s="5">
        <v>398</v>
      </c>
      <c r="H26" s="6">
        <v>225.02</v>
      </c>
      <c r="I26" s="7">
        <f t="shared" si="1"/>
        <v>89557.96</v>
      </c>
      <c r="J26" s="7">
        <f t="shared" si="2"/>
        <v>7954.4600000000064</v>
      </c>
      <c r="K26" s="8">
        <f t="shared" si="3"/>
        <v>9.7476946454502639E-2</v>
      </c>
      <c r="L26" s="9">
        <v>2</v>
      </c>
      <c r="M26" s="10" t="s">
        <v>20</v>
      </c>
      <c r="N26" s="7">
        <f t="shared" si="4"/>
        <v>173022.25</v>
      </c>
      <c r="O26" s="8">
        <f t="shared" si="5"/>
        <v>0.1380952316341397</v>
      </c>
      <c r="P26" s="11"/>
    </row>
    <row r="27" spans="1:16">
      <c r="A27" s="1" t="s">
        <v>29</v>
      </c>
      <c r="B27" s="1" t="s">
        <v>25</v>
      </c>
      <c r="C27" s="1" t="s">
        <v>24</v>
      </c>
      <c r="D27" s="12">
        <v>591</v>
      </c>
      <c r="E27" s="13">
        <v>95.24</v>
      </c>
      <c r="F27" s="14">
        <f t="shared" si="0"/>
        <v>56286.84</v>
      </c>
      <c r="G27" s="12">
        <v>546</v>
      </c>
      <c r="H27" s="13">
        <v>97.68</v>
      </c>
      <c r="I27" s="14">
        <f t="shared" si="1"/>
        <v>53333.280000000006</v>
      </c>
      <c r="J27" s="14">
        <f t="shared" si="2"/>
        <v>-2953.5599999999904</v>
      </c>
      <c r="K27" s="15">
        <f t="shared" si="3"/>
        <v>-5.2473366776319127E-2</v>
      </c>
      <c r="L27" s="9">
        <v>2</v>
      </c>
      <c r="M27" s="16" t="s">
        <v>22</v>
      </c>
      <c r="N27" s="14">
        <f t="shared" si="4"/>
        <v>110733.6</v>
      </c>
      <c r="O27" s="15">
        <f t="shared" si="5"/>
        <v>0.12793499925636515</v>
      </c>
      <c r="P27" s="17"/>
    </row>
    <row r="28" spans="1:16">
      <c r="A28" s="4" t="s">
        <v>29</v>
      </c>
      <c r="B28" s="4" t="s">
        <v>26</v>
      </c>
      <c r="C28" s="4" t="s">
        <v>19</v>
      </c>
      <c r="D28" s="5">
        <v>1680</v>
      </c>
      <c r="E28" s="6">
        <v>45.11</v>
      </c>
      <c r="F28" s="7">
        <f t="shared" si="0"/>
        <v>75784.800000000003</v>
      </c>
      <c r="G28" s="5">
        <v>1770</v>
      </c>
      <c r="H28" s="6">
        <v>44.69</v>
      </c>
      <c r="I28" s="7">
        <f t="shared" si="1"/>
        <v>79101.3</v>
      </c>
      <c r="J28" s="7">
        <f t="shared" si="2"/>
        <v>3316.5</v>
      </c>
      <c r="K28" s="8">
        <f t="shared" si="3"/>
        <v>4.3762073661209107E-2</v>
      </c>
      <c r="L28" s="9">
        <v>2</v>
      </c>
      <c r="M28" s="10" t="s">
        <v>22</v>
      </c>
      <c r="N28" s="7">
        <f t="shared" si="4"/>
        <v>160118.46000000002</v>
      </c>
      <c r="O28" s="8">
        <f t="shared" si="5"/>
        <v>0.13745541584011203</v>
      </c>
      <c r="P28" s="11"/>
    </row>
    <row r="29" spans="1:16">
      <c r="A29" s="1" t="s">
        <v>29</v>
      </c>
      <c r="B29" s="1" t="s">
        <v>26</v>
      </c>
      <c r="C29" s="1" t="s">
        <v>21</v>
      </c>
      <c r="D29" s="12">
        <v>1008</v>
      </c>
      <c r="E29" s="13">
        <v>65.16</v>
      </c>
      <c r="F29" s="14">
        <f t="shared" si="0"/>
        <v>65681.279999999999</v>
      </c>
      <c r="G29" s="12">
        <v>1096</v>
      </c>
      <c r="H29" s="13">
        <v>65.95</v>
      </c>
      <c r="I29" s="14">
        <f t="shared" si="1"/>
        <v>72281.2</v>
      </c>
      <c r="J29" s="14">
        <f t="shared" si="2"/>
        <v>6599.9199999999983</v>
      </c>
      <c r="K29" s="15">
        <f t="shared" si="3"/>
        <v>0.10048403441589443</v>
      </c>
      <c r="L29" s="9">
        <v>2</v>
      </c>
      <c r="M29" s="16" t="s">
        <v>20</v>
      </c>
      <c r="N29" s="14">
        <f t="shared" si="4"/>
        <v>133016.5</v>
      </c>
      <c r="O29" s="15">
        <f t="shared" si="5"/>
        <v>0.13175599565976287</v>
      </c>
      <c r="P29" s="17"/>
    </row>
    <row r="30" spans="1:16">
      <c r="A30" s="4" t="s">
        <v>29</v>
      </c>
      <c r="B30" s="4" t="s">
        <v>26</v>
      </c>
      <c r="C30" s="4" t="s">
        <v>23</v>
      </c>
      <c r="D30" s="5">
        <v>420</v>
      </c>
      <c r="E30" s="6">
        <v>220.55</v>
      </c>
      <c r="F30" s="7">
        <f t="shared" si="0"/>
        <v>92631</v>
      </c>
      <c r="G30" s="5">
        <v>394</v>
      </c>
      <c r="H30" s="6">
        <v>224.35</v>
      </c>
      <c r="I30" s="7">
        <f t="shared" si="1"/>
        <v>88393.9</v>
      </c>
      <c r="J30" s="7">
        <f t="shared" si="2"/>
        <v>-4237.1000000000058</v>
      </c>
      <c r="K30" s="8">
        <f t="shared" si="3"/>
        <v>-4.5741706340210145E-2</v>
      </c>
      <c r="L30" s="9">
        <v>2</v>
      </c>
      <c r="M30" s="10" t="s">
        <v>22</v>
      </c>
      <c r="N30" s="7">
        <f t="shared" si="4"/>
        <v>186567.46999999997</v>
      </c>
      <c r="O30" s="8">
        <f t="shared" si="5"/>
        <v>0.13103727838828352</v>
      </c>
      <c r="P30" s="11"/>
    </row>
    <row r="31" spans="1:16">
      <c r="A31" s="1" t="s">
        <v>29</v>
      </c>
      <c r="B31" s="1" t="s">
        <v>26</v>
      </c>
      <c r="C31" s="1" t="s">
        <v>24</v>
      </c>
      <c r="D31" s="12">
        <v>672</v>
      </c>
      <c r="E31" s="13">
        <v>95.24</v>
      </c>
      <c r="F31" s="14">
        <f t="shared" si="0"/>
        <v>64001.279999999999</v>
      </c>
      <c r="G31" s="12">
        <v>712</v>
      </c>
      <c r="H31" s="13">
        <v>95.38</v>
      </c>
      <c r="I31" s="14">
        <f t="shared" si="1"/>
        <v>67910.559999999998</v>
      </c>
      <c r="J31" s="14">
        <f t="shared" si="2"/>
        <v>3909.2799999999988</v>
      </c>
      <c r="K31" s="15">
        <f t="shared" si="3"/>
        <v>6.1081278374432495E-2</v>
      </c>
      <c r="L31" s="9">
        <v>2</v>
      </c>
      <c r="M31" s="16" t="s">
        <v>22</v>
      </c>
      <c r="N31" s="14">
        <f t="shared" si="4"/>
        <v>136713.06</v>
      </c>
      <c r="O31" s="15">
        <f t="shared" si="5"/>
        <v>0.13898067989156521</v>
      </c>
      <c r="P31" s="17"/>
    </row>
    <row r="32" spans="1:16">
      <c r="A32" s="4" t="s">
        <v>29</v>
      </c>
      <c r="B32" s="4" t="s">
        <v>27</v>
      </c>
      <c r="C32" s="4" t="s">
        <v>19</v>
      </c>
      <c r="D32" s="5">
        <v>1982</v>
      </c>
      <c r="E32" s="6">
        <v>45.11</v>
      </c>
      <c r="F32" s="7">
        <f t="shared" si="0"/>
        <v>89408.02</v>
      </c>
      <c r="G32" s="5">
        <v>1947</v>
      </c>
      <c r="H32" s="6">
        <v>46.46</v>
      </c>
      <c r="I32" s="7">
        <f t="shared" si="1"/>
        <v>90457.62</v>
      </c>
      <c r="J32" s="7">
        <f t="shared" si="2"/>
        <v>1049.5999999999913</v>
      </c>
      <c r="K32" s="8">
        <f t="shared" si="3"/>
        <v>1.1739439034663682E-2</v>
      </c>
      <c r="L32" s="9">
        <v>2</v>
      </c>
      <c r="M32" s="10" t="s">
        <v>20</v>
      </c>
      <c r="N32" s="7">
        <f t="shared" si="4"/>
        <v>185167.8</v>
      </c>
      <c r="O32" s="8">
        <f t="shared" si="5"/>
        <v>0.13471123728121509</v>
      </c>
      <c r="P32" s="11"/>
    </row>
    <row r="33" spans="1:16">
      <c r="A33" s="1" t="s">
        <v>29</v>
      </c>
      <c r="B33" s="1" t="s">
        <v>27</v>
      </c>
      <c r="C33" s="1" t="s">
        <v>21</v>
      </c>
      <c r="D33" s="12">
        <v>1189</v>
      </c>
      <c r="E33" s="13">
        <v>65.16</v>
      </c>
      <c r="F33" s="14">
        <f t="shared" si="0"/>
        <v>77475.239999999991</v>
      </c>
      <c r="G33" s="12">
        <v>1199</v>
      </c>
      <c r="H33" s="13">
        <v>66.319999999999993</v>
      </c>
      <c r="I33" s="14">
        <f t="shared" si="1"/>
        <v>79517.679999999993</v>
      </c>
      <c r="J33" s="14">
        <f t="shared" si="2"/>
        <v>2042.4400000000023</v>
      </c>
      <c r="K33" s="15">
        <f t="shared" si="3"/>
        <v>2.6362486905493969E-2</v>
      </c>
      <c r="L33" s="9">
        <v>2</v>
      </c>
      <c r="M33" s="16" t="s">
        <v>28</v>
      </c>
      <c r="N33" s="14">
        <f t="shared" si="4"/>
        <v>158111.76999999999</v>
      </c>
      <c r="O33" s="15">
        <f t="shared" si="5"/>
        <v>0.13272322632474065</v>
      </c>
      <c r="P33" s="17"/>
    </row>
    <row r="34" spans="1:16">
      <c r="A34" s="4" t="s">
        <v>29</v>
      </c>
      <c r="B34" s="4" t="s">
        <v>27</v>
      </c>
      <c r="C34" s="4" t="s">
        <v>23</v>
      </c>
      <c r="D34" s="5">
        <v>496</v>
      </c>
      <c r="E34" s="6">
        <v>220.55</v>
      </c>
      <c r="F34" s="7">
        <f t="shared" si="0"/>
        <v>109392.8</v>
      </c>
      <c r="G34" s="5">
        <v>467</v>
      </c>
      <c r="H34" s="6">
        <v>217.9</v>
      </c>
      <c r="I34" s="7">
        <f t="shared" si="1"/>
        <v>101759.3</v>
      </c>
      <c r="J34" s="7">
        <f t="shared" si="2"/>
        <v>-7633.5</v>
      </c>
      <c r="K34" s="8">
        <f t="shared" si="3"/>
        <v>-6.9780643698671208E-2</v>
      </c>
      <c r="L34" s="9">
        <v>2</v>
      </c>
      <c r="M34" s="10" t="s">
        <v>22</v>
      </c>
      <c r="N34" s="7">
        <f t="shared" si="4"/>
        <v>203054.44</v>
      </c>
      <c r="O34" s="8">
        <f t="shared" si="5"/>
        <v>0.12085416343160944</v>
      </c>
      <c r="P34" s="11"/>
    </row>
    <row r="35" spans="1:16">
      <c r="A35" s="1" t="s">
        <v>29</v>
      </c>
      <c r="B35" s="1" t="s">
        <v>27</v>
      </c>
      <c r="C35" s="1" t="s">
        <v>24</v>
      </c>
      <c r="D35" s="12">
        <v>793</v>
      </c>
      <c r="E35" s="13">
        <v>95.24</v>
      </c>
      <c r="F35" s="14">
        <f t="shared" si="0"/>
        <v>75525.319999999992</v>
      </c>
      <c r="G35" s="12">
        <v>816</v>
      </c>
      <c r="H35" s="13">
        <v>95.17</v>
      </c>
      <c r="I35" s="14">
        <f t="shared" si="1"/>
        <v>77658.720000000001</v>
      </c>
      <c r="J35" s="14">
        <f t="shared" si="2"/>
        <v>2133.4000000000087</v>
      </c>
      <c r="K35" s="15">
        <f t="shared" si="3"/>
        <v>2.824748044761689E-2</v>
      </c>
      <c r="L35" s="9">
        <v>2</v>
      </c>
      <c r="M35" s="16" t="s">
        <v>22</v>
      </c>
      <c r="N35" s="14">
        <f t="shared" si="4"/>
        <v>146907.91999999998</v>
      </c>
      <c r="O35" s="15">
        <f t="shared" si="5"/>
        <v>0.12656324970575417</v>
      </c>
      <c r="P35" s="17"/>
    </row>
    <row r="36" spans="1:16">
      <c r="A36" s="4" t="s">
        <v>31</v>
      </c>
      <c r="B36" s="4" t="s">
        <v>18</v>
      </c>
      <c r="C36" s="4" t="s">
        <v>19</v>
      </c>
      <c r="D36" s="5">
        <v>2046</v>
      </c>
      <c r="E36" s="6">
        <v>45.22</v>
      </c>
      <c r="F36" s="7">
        <f t="shared" ref="F36:F67" si="6">D36*E36</f>
        <v>92520.12</v>
      </c>
      <c r="G36" s="5">
        <v>2053</v>
      </c>
      <c r="H36" s="6">
        <v>44.88</v>
      </c>
      <c r="I36" s="7">
        <f t="shared" ref="I36:I67" si="7">G36*H36</f>
        <v>92138.64</v>
      </c>
      <c r="J36" s="7">
        <f t="shared" ref="J36:J67" si="8">I36-F36</f>
        <v>-381.47999999999593</v>
      </c>
      <c r="K36" s="8">
        <f t="shared" ref="K36:K67" si="9">IFERROR(J36/F36,0)</f>
        <v>-4.1232112539412611E-3</v>
      </c>
      <c r="L36" s="9">
        <v>3</v>
      </c>
      <c r="M36" s="10" t="s">
        <v>22</v>
      </c>
      <c r="N36" s="7">
        <f t="shared" ref="N36:N67" si="10">SUMIFS($I$4:$I$195,$B$4:$B$195,B36,$C$4:$C$195,C36,$L$4:$L$195,"&lt;="&amp;L36)</f>
        <v>261128.66999999998</v>
      </c>
      <c r="O36" s="8">
        <f t="shared" ref="O36:O67" si="11">IFERROR(N36/SUMIFS($F$4:$F$195,$B$4:$B$195,B36,$C$4:$C$195,C36),0)</f>
        <v>0.20378974372885825</v>
      </c>
      <c r="P36" s="11"/>
    </row>
    <row r="37" spans="1:16">
      <c r="A37" s="1" t="s">
        <v>31</v>
      </c>
      <c r="B37" s="1" t="s">
        <v>18</v>
      </c>
      <c r="C37" s="1" t="s">
        <v>21</v>
      </c>
      <c r="D37" s="12">
        <v>1228</v>
      </c>
      <c r="E37" s="13">
        <v>65.319999999999993</v>
      </c>
      <c r="F37" s="14">
        <f t="shared" si="6"/>
        <v>80212.959999999992</v>
      </c>
      <c r="G37" s="12">
        <v>1349</v>
      </c>
      <c r="H37" s="13">
        <v>66.239999999999995</v>
      </c>
      <c r="I37" s="14">
        <f t="shared" si="7"/>
        <v>89357.759999999995</v>
      </c>
      <c r="J37" s="14">
        <f t="shared" si="8"/>
        <v>9144.8000000000029</v>
      </c>
      <c r="K37" s="15">
        <f t="shared" si="9"/>
        <v>0.11400651465798051</v>
      </c>
      <c r="L37" s="9">
        <v>3</v>
      </c>
      <c r="M37" s="16" t="s">
        <v>20</v>
      </c>
      <c r="N37" s="14">
        <f t="shared" si="10"/>
        <v>225983.61</v>
      </c>
      <c r="O37" s="15">
        <f t="shared" si="11"/>
        <v>0.20349287353191078</v>
      </c>
      <c r="P37" s="17"/>
    </row>
    <row r="38" spans="1:16">
      <c r="A38" s="4" t="s">
        <v>31</v>
      </c>
      <c r="B38" s="4" t="s">
        <v>18</v>
      </c>
      <c r="C38" s="4" t="s">
        <v>23</v>
      </c>
      <c r="D38" s="5">
        <v>512</v>
      </c>
      <c r="E38" s="6">
        <v>221.1</v>
      </c>
      <c r="F38" s="7">
        <f t="shared" si="6"/>
        <v>113203.2</v>
      </c>
      <c r="G38" s="5">
        <v>557</v>
      </c>
      <c r="H38" s="6">
        <v>224.98</v>
      </c>
      <c r="I38" s="7">
        <f t="shared" si="7"/>
        <v>125313.86</v>
      </c>
      <c r="J38" s="7">
        <f t="shared" si="8"/>
        <v>12110.660000000003</v>
      </c>
      <c r="K38" s="8">
        <f t="shared" si="9"/>
        <v>0.10698160476028949</v>
      </c>
      <c r="L38" s="9">
        <v>3</v>
      </c>
      <c r="M38" s="10" t="s">
        <v>22</v>
      </c>
      <c r="N38" s="7">
        <f t="shared" si="10"/>
        <v>338617.62</v>
      </c>
      <c r="O38" s="8">
        <f t="shared" si="11"/>
        <v>0.21619498368183115</v>
      </c>
      <c r="P38" s="11"/>
    </row>
    <row r="39" spans="1:16">
      <c r="A39" s="1" t="s">
        <v>31</v>
      </c>
      <c r="B39" s="1" t="s">
        <v>18</v>
      </c>
      <c r="C39" s="1" t="s">
        <v>24</v>
      </c>
      <c r="D39" s="12">
        <v>818</v>
      </c>
      <c r="E39" s="13">
        <v>95.47</v>
      </c>
      <c r="F39" s="14">
        <f t="shared" si="6"/>
        <v>78094.459999999992</v>
      </c>
      <c r="G39" s="12">
        <v>800</v>
      </c>
      <c r="H39" s="13">
        <v>94.96</v>
      </c>
      <c r="I39" s="14">
        <f t="shared" si="7"/>
        <v>75968</v>
      </c>
      <c r="J39" s="14">
        <f t="shared" si="8"/>
        <v>-2126.4599999999919</v>
      </c>
      <c r="K39" s="15">
        <f t="shared" si="9"/>
        <v>-2.72293322727373E-2</v>
      </c>
      <c r="L39" s="9">
        <v>3</v>
      </c>
      <c r="M39" s="16" t="s">
        <v>20</v>
      </c>
      <c r="N39" s="14">
        <f t="shared" si="10"/>
        <v>211600.34</v>
      </c>
      <c r="O39" s="15">
        <f t="shared" si="11"/>
        <v>0.19555457840034762</v>
      </c>
      <c r="P39" s="17"/>
    </row>
    <row r="40" spans="1:16">
      <c r="A40" s="4" t="s">
        <v>31</v>
      </c>
      <c r="B40" s="4" t="s">
        <v>25</v>
      </c>
      <c r="C40" s="4" t="s">
        <v>19</v>
      </c>
      <c r="D40" s="5">
        <v>1637</v>
      </c>
      <c r="E40" s="6">
        <v>45.22</v>
      </c>
      <c r="F40" s="7">
        <f t="shared" si="6"/>
        <v>74025.14</v>
      </c>
      <c r="G40" s="5">
        <v>1491</v>
      </c>
      <c r="H40" s="6">
        <v>45.95</v>
      </c>
      <c r="I40" s="7">
        <f t="shared" si="7"/>
        <v>68511.45</v>
      </c>
      <c r="J40" s="7">
        <f t="shared" si="8"/>
        <v>-5513.6900000000023</v>
      </c>
      <c r="K40" s="8">
        <f t="shared" si="9"/>
        <v>-7.4484019888378494E-2</v>
      </c>
      <c r="L40" s="9">
        <v>3</v>
      </c>
      <c r="M40" s="10" t="s">
        <v>22</v>
      </c>
      <c r="N40" s="7">
        <f t="shared" si="10"/>
        <v>202091.05</v>
      </c>
      <c r="O40" s="8">
        <f t="shared" si="11"/>
        <v>0.19714453587916309</v>
      </c>
      <c r="P40" s="11"/>
    </row>
    <row r="41" spans="1:16" ht="24">
      <c r="A41" s="1" t="s">
        <v>31</v>
      </c>
      <c r="B41" s="1" t="s">
        <v>25</v>
      </c>
      <c r="C41" s="1" t="s">
        <v>21</v>
      </c>
      <c r="D41" s="12">
        <v>982</v>
      </c>
      <c r="E41" s="13">
        <v>65.319999999999993</v>
      </c>
      <c r="F41" s="14">
        <f t="shared" si="6"/>
        <v>64144.239999999991</v>
      </c>
      <c r="G41" s="12">
        <v>1084</v>
      </c>
      <c r="H41" s="13">
        <v>66.5</v>
      </c>
      <c r="I41" s="14">
        <f t="shared" si="7"/>
        <v>72086</v>
      </c>
      <c r="J41" s="14">
        <f t="shared" si="8"/>
        <v>7941.7600000000093</v>
      </c>
      <c r="K41" s="15">
        <f t="shared" si="9"/>
        <v>0.12381096104654152</v>
      </c>
      <c r="L41" s="9">
        <v>3</v>
      </c>
      <c r="M41" s="16" t="s">
        <v>22</v>
      </c>
      <c r="N41" s="14">
        <f t="shared" si="10"/>
        <v>186305.84</v>
      </c>
      <c r="O41" s="15">
        <f t="shared" si="11"/>
        <v>0.20970494887040336</v>
      </c>
      <c r="P41" s="17" t="s">
        <v>32</v>
      </c>
    </row>
    <row r="42" spans="1:16">
      <c r="A42" s="4" t="s">
        <v>31</v>
      </c>
      <c r="B42" s="4" t="s">
        <v>25</v>
      </c>
      <c r="C42" s="4" t="s">
        <v>23</v>
      </c>
      <c r="D42" s="5">
        <v>409</v>
      </c>
      <c r="E42" s="6">
        <v>221.1</v>
      </c>
      <c r="F42" s="7">
        <f t="shared" si="6"/>
        <v>90429.9</v>
      </c>
      <c r="G42" s="5">
        <v>443</v>
      </c>
      <c r="H42" s="6">
        <v>219.98</v>
      </c>
      <c r="I42" s="7">
        <f t="shared" si="7"/>
        <v>97451.14</v>
      </c>
      <c r="J42" s="7">
        <f t="shared" si="8"/>
        <v>7021.2400000000052</v>
      </c>
      <c r="K42" s="8">
        <f t="shared" si="9"/>
        <v>7.7642903508684691E-2</v>
      </c>
      <c r="L42" s="9">
        <v>3</v>
      </c>
      <c r="M42" s="10" t="s">
        <v>22</v>
      </c>
      <c r="N42" s="7">
        <f t="shared" si="10"/>
        <v>270473.39</v>
      </c>
      <c r="O42" s="8">
        <f t="shared" si="11"/>
        <v>0.21587446379249495</v>
      </c>
      <c r="P42" s="11"/>
    </row>
    <row r="43" spans="1:16">
      <c r="A43" s="1" t="s">
        <v>31</v>
      </c>
      <c r="B43" s="1" t="s">
        <v>25</v>
      </c>
      <c r="C43" s="1" t="s">
        <v>24</v>
      </c>
      <c r="D43" s="12">
        <v>655</v>
      </c>
      <c r="E43" s="13">
        <v>95.47</v>
      </c>
      <c r="F43" s="14">
        <f t="shared" si="6"/>
        <v>62532.85</v>
      </c>
      <c r="G43" s="12">
        <v>676</v>
      </c>
      <c r="H43" s="13">
        <v>94.29</v>
      </c>
      <c r="I43" s="14">
        <f t="shared" si="7"/>
        <v>63740.04</v>
      </c>
      <c r="J43" s="14">
        <f t="shared" si="8"/>
        <v>1207.1900000000023</v>
      </c>
      <c r="K43" s="15">
        <f t="shared" si="9"/>
        <v>1.9304893348056299E-2</v>
      </c>
      <c r="L43" s="9">
        <v>3</v>
      </c>
      <c r="M43" s="16" t="s">
        <v>22</v>
      </c>
      <c r="N43" s="14">
        <f t="shared" si="10"/>
        <v>174473.64</v>
      </c>
      <c r="O43" s="15">
        <f t="shared" si="11"/>
        <v>0.20157644114934692</v>
      </c>
      <c r="P43" s="17"/>
    </row>
    <row r="44" spans="1:16">
      <c r="A44" s="4" t="s">
        <v>31</v>
      </c>
      <c r="B44" s="4" t="s">
        <v>26</v>
      </c>
      <c r="C44" s="4" t="s">
        <v>19</v>
      </c>
      <c r="D44" s="5">
        <v>1860</v>
      </c>
      <c r="E44" s="6">
        <v>45.22</v>
      </c>
      <c r="F44" s="7">
        <f t="shared" si="6"/>
        <v>84109.2</v>
      </c>
      <c r="G44" s="5">
        <v>1893</v>
      </c>
      <c r="H44" s="6">
        <v>46.08</v>
      </c>
      <c r="I44" s="7">
        <f t="shared" si="7"/>
        <v>87229.440000000002</v>
      </c>
      <c r="J44" s="7">
        <f t="shared" si="8"/>
        <v>3120.2400000000052</v>
      </c>
      <c r="K44" s="8">
        <f t="shared" si="9"/>
        <v>3.7097487551896881E-2</v>
      </c>
      <c r="L44" s="9">
        <v>3</v>
      </c>
      <c r="M44" s="10" t="s">
        <v>22</v>
      </c>
      <c r="N44" s="7">
        <f t="shared" si="10"/>
        <v>247347.90000000002</v>
      </c>
      <c r="O44" s="8">
        <f t="shared" si="11"/>
        <v>0.21233846772994472</v>
      </c>
      <c r="P44" s="11"/>
    </row>
    <row r="45" spans="1:16">
      <c r="A45" s="1" t="s">
        <v>31</v>
      </c>
      <c r="B45" s="1" t="s">
        <v>26</v>
      </c>
      <c r="C45" s="1" t="s">
        <v>21</v>
      </c>
      <c r="D45" s="12">
        <v>1116</v>
      </c>
      <c r="E45" s="13">
        <v>65.319999999999993</v>
      </c>
      <c r="F45" s="14">
        <f t="shared" si="6"/>
        <v>72897.119999999995</v>
      </c>
      <c r="G45" s="12">
        <v>1016</v>
      </c>
      <c r="H45" s="13">
        <v>65.069999999999993</v>
      </c>
      <c r="I45" s="14">
        <f t="shared" si="7"/>
        <v>66111.12</v>
      </c>
      <c r="J45" s="14">
        <f t="shared" si="8"/>
        <v>-6786</v>
      </c>
      <c r="K45" s="15">
        <f t="shared" si="9"/>
        <v>-9.3090097386563431E-2</v>
      </c>
      <c r="L45" s="9">
        <v>3</v>
      </c>
      <c r="M45" s="16" t="s">
        <v>20</v>
      </c>
      <c r="N45" s="14">
        <f t="shared" si="10"/>
        <v>199127.62</v>
      </c>
      <c r="O45" s="15">
        <f t="shared" si="11"/>
        <v>0.19724062681290599</v>
      </c>
      <c r="P45" s="17"/>
    </row>
    <row r="46" spans="1:16" ht="24">
      <c r="A46" s="4" t="s">
        <v>31</v>
      </c>
      <c r="B46" s="4" t="s">
        <v>26</v>
      </c>
      <c r="C46" s="4" t="s">
        <v>23</v>
      </c>
      <c r="D46" s="5">
        <v>465</v>
      </c>
      <c r="E46" s="6">
        <v>221.1</v>
      </c>
      <c r="F46" s="7">
        <f t="shared" si="6"/>
        <v>102811.5</v>
      </c>
      <c r="G46" s="5">
        <v>510</v>
      </c>
      <c r="H46" s="6">
        <v>226.39</v>
      </c>
      <c r="I46" s="7">
        <f t="shared" si="7"/>
        <v>115458.9</v>
      </c>
      <c r="J46" s="7">
        <f t="shared" si="8"/>
        <v>12647.399999999994</v>
      </c>
      <c r="K46" s="8">
        <f t="shared" si="9"/>
        <v>0.12301542142659133</v>
      </c>
      <c r="L46" s="9">
        <v>3</v>
      </c>
      <c r="M46" s="10" t="s">
        <v>22</v>
      </c>
      <c r="N46" s="7">
        <f t="shared" si="10"/>
        <v>302026.37</v>
      </c>
      <c r="O46" s="8">
        <f t="shared" si="11"/>
        <v>0.21213083677606137</v>
      </c>
      <c r="P46" s="11" t="s">
        <v>33</v>
      </c>
    </row>
    <row r="47" spans="1:16">
      <c r="A47" s="1" t="s">
        <v>31</v>
      </c>
      <c r="B47" s="1" t="s">
        <v>26</v>
      </c>
      <c r="C47" s="1" t="s">
        <v>24</v>
      </c>
      <c r="D47" s="12">
        <v>744</v>
      </c>
      <c r="E47" s="13">
        <v>95.47</v>
      </c>
      <c r="F47" s="14">
        <f t="shared" si="6"/>
        <v>71029.679999999993</v>
      </c>
      <c r="G47" s="12">
        <v>713</v>
      </c>
      <c r="H47" s="13">
        <v>94.71</v>
      </c>
      <c r="I47" s="14">
        <f t="shared" si="7"/>
        <v>67528.23</v>
      </c>
      <c r="J47" s="14">
        <f t="shared" si="8"/>
        <v>-3501.4499999999971</v>
      </c>
      <c r="K47" s="15">
        <f t="shared" si="9"/>
        <v>-4.9295590237770991E-2</v>
      </c>
      <c r="L47" s="9">
        <v>3</v>
      </c>
      <c r="M47" s="16" t="s">
        <v>22</v>
      </c>
      <c r="N47" s="14">
        <f t="shared" si="10"/>
        <v>204241.28999999998</v>
      </c>
      <c r="O47" s="15">
        <f t="shared" si="11"/>
        <v>0.20762898106538127</v>
      </c>
      <c r="P47" s="17"/>
    </row>
    <row r="48" spans="1:16">
      <c r="A48" s="4" t="s">
        <v>31</v>
      </c>
      <c r="B48" s="4" t="s">
        <v>27</v>
      </c>
      <c r="C48" s="4" t="s">
        <v>19</v>
      </c>
      <c r="D48" s="5">
        <v>2195</v>
      </c>
      <c r="E48" s="6">
        <v>45.22</v>
      </c>
      <c r="F48" s="7">
        <f t="shared" si="6"/>
        <v>99257.9</v>
      </c>
      <c r="G48" s="5">
        <v>2032</v>
      </c>
      <c r="H48" s="6">
        <v>45.97</v>
      </c>
      <c r="I48" s="7">
        <f t="shared" si="7"/>
        <v>93411.04</v>
      </c>
      <c r="J48" s="7">
        <f t="shared" si="8"/>
        <v>-5846.8600000000006</v>
      </c>
      <c r="K48" s="8">
        <f t="shared" si="9"/>
        <v>-5.8905739492775902E-2</v>
      </c>
      <c r="L48" s="9">
        <v>3</v>
      </c>
      <c r="M48" s="10" t="s">
        <v>22</v>
      </c>
      <c r="N48" s="7">
        <f t="shared" si="10"/>
        <v>278578.83999999997</v>
      </c>
      <c r="O48" s="8">
        <f t="shared" si="11"/>
        <v>0.20266860769942535</v>
      </c>
      <c r="P48" s="11"/>
    </row>
    <row r="49" spans="1:16">
      <c r="A49" s="1" t="s">
        <v>31</v>
      </c>
      <c r="B49" s="1" t="s">
        <v>27</v>
      </c>
      <c r="C49" s="1" t="s">
        <v>21</v>
      </c>
      <c r="D49" s="12">
        <v>1317</v>
      </c>
      <c r="E49" s="13">
        <v>65.319999999999993</v>
      </c>
      <c r="F49" s="14">
        <f t="shared" si="6"/>
        <v>86026.439999999988</v>
      </c>
      <c r="G49" s="12">
        <v>1456</v>
      </c>
      <c r="H49" s="13">
        <v>65.75</v>
      </c>
      <c r="I49" s="14">
        <f t="shared" si="7"/>
        <v>95732</v>
      </c>
      <c r="J49" s="14">
        <f t="shared" si="8"/>
        <v>9705.5600000000122</v>
      </c>
      <c r="K49" s="15">
        <f t="shared" si="9"/>
        <v>0.11282066304266472</v>
      </c>
      <c r="L49" s="9">
        <v>3</v>
      </c>
      <c r="M49" s="16" t="s">
        <v>20</v>
      </c>
      <c r="N49" s="14">
        <f t="shared" si="10"/>
        <v>253843.77</v>
      </c>
      <c r="O49" s="15">
        <f t="shared" si="11"/>
        <v>0.21308321408858691</v>
      </c>
      <c r="P49" s="17"/>
    </row>
    <row r="50" spans="1:16">
      <c r="A50" s="4" t="s">
        <v>31</v>
      </c>
      <c r="B50" s="4" t="s">
        <v>27</v>
      </c>
      <c r="C50" s="4" t="s">
        <v>23</v>
      </c>
      <c r="D50" s="5">
        <v>549</v>
      </c>
      <c r="E50" s="6">
        <v>221.1</v>
      </c>
      <c r="F50" s="7">
        <f t="shared" si="6"/>
        <v>121383.9</v>
      </c>
      <c r="G50" s="5">
        <v>572</v>
      </c>
      <c r="H50" s="6">
        <v>227.15</v>
      </c>
      <c r="I50" s="7">
        <f t="shared" si="7"/>
        <v>129929.8</v>
      </c>
      <c r="J50" s="7">
        <f t="shared" si="8"/>
        <v>8545.9000000000087</v>
      </c>
      <c r="K50" s="8">
        <f t="shared" si="9"/>
        <v>7.0403900352517992E-2</v>
      </c>
      <c r="L50" s="9">
        <v>3</v>
      </c>
      <c r="M50" s="10" t="s">
        <v>20</v>
      </c>
      <c r="N50" s="7">
        <f t="shared" si="10"/>
        <v>332984.24</v>
      </c>
      <c r="O50" s="8">
        <f t="shared" si="11"/>
        <v>0.19818592374099409</v>
      </c>
      <c r="P50" s="11"/>
    </row>
    <row r="51" spans="1:16">
      <c r="A51" s="1" t="s">
        <v>31</v>
      </c>
      <c r="B51" s="1" t="s">
        <v>27</v>
      </c>
      <c r="C51" s="1" t="s">
        <v>24</v>
      </c>
      <c r="D51" s="12">
        <v>878</v>
      </c>
      <c r="E51" s="13">
        <v>95.47</v>
      </c>
      <c r="F51" s="14">
        <f t="shared" si="6"/>
        <v>83822.66</v>
      </c>
      <c r="G51" s="12">
        <v>892</v>
      </c>
      <c r="H51" s="13">
        <v>96.46</v>
      </c>
      <c r="I51" s="14">
        <f t="shared" si="7"/>
        <v>86042.319999999992</v>
      </c>
      <c r="J51" s="14">
        <f t="shared" si="8"/>
        <v>2219.6599999999889</v>
      </c>
      <c r="K51" s="15">
        <f t="shared" si="9"/>
        <v>2.6480429039116498E-2</v>
      </c>
      <c r="L51" s="9">
        <v>3</v>
      </c>
      <c r="M51" s="16" t="s">
        <v>28</v>
      </c>
      <c r="N51" s="14">
        <f t="shared" si="10"/>
        <v>232950.24</v>
      </c>
      <c r="O51" s="15">
        <f t="shared" si="11"/>
        <v>0.20068992464215246</v>
      </c>
      <c r="P51" s="17"/>
    </row>
    <row r="52" spans="1:16">
      <c r="A52" s="4" t="s">
        <v>34</v>
      </c>
      <c r="B52" s="4" t="s">
        <v>18</v>
      </c>
      <c r="C52" s="4" t="s">
        <v>19</v>
      </c>
      <c r="D52" s="5">
        <v>2156</v>
      </c>
      <c r="E52" s="6">
        <v>45.34</v>
      </c>
      <c r="F52" s="7">
        <f t="shared" si="6"/>
        <v>97753.040000000008</v>
      </c>
      <c r="G52" s="5">
        <v>2363</v>
      </c>
      <c r="H52" s="6">
        <v>46.15</v>
      </c>
      <c r="I52" s="7">
        <f t="shared" si="7"/>
        <v>109052.45</v>
      </c>
      <c r="J52" s="7">
        <f t="shared" si="8"/>
        <v>11299.409999999989</v>
      </c>
      <c r="K52" s="8">
        <f t="shared" si="9"/>
        <v>0.11559139234953704</v>
      </c>
      <c r="L52" s="9">
        <v>4</v>
      </c>
      <c r="M52" s="10" t="s">
        <v>22</v>
      </c>
      <c r="N52" s="7">
        <f t="shared" si="10"/>
        <v>370181.12</v>
      </c>
      <c r="O52" s="8">
        <f t="shared" si="11"/>
        <v>0.28889633443184054</v>
      </c>
      <c r="P52" s="11"/>
    </row>
    <row r="53" spans="1:16">
      <c r="A53" s="1" t="s">
        <v>34</v>
      </c>
      <c r="B53" s="1" t="s">
        <v>18</v>
      </c>
      <c r="C53" s="1" t="s">
        <v>21</v>
      </c>
      <c r="D53" s="12">
        <v>1294</v>
      </c>
      <c r="E53" s="13">
        <v>65.489999999999995</v>
      </c>
      <c r="F53" s="14">
        <f t="shared" si="6"/>
        <v>84744.06</v>
      </c>
      <c r="G53" s="12">
        <v>1362</v>
      </c>
      <c r="H53" s="13">
        <v>65.489999999999995</v>
      </c>
      <c r="I53" s="14">
        <f t="shared" si="7"/>
        <v>89197.37999999999</v>
      </c>
      <c r="J53" s="14">
        <f t="shared" si="8"/>
        <v>4453.3199999999924</v>
      </c>
      <c r="K53" s="15">
        <f t="shared" si="9"/>
        <v>5.2550231839258027E-2</v>
      </c>
      <c r="L53" s="9">
        <v>4</v>
      </c>
      <c r="M53" s="16" t="s">
        <v>22</v>
      </c>
      <c r="N53" s="14">
        <f t="shared" si="10"/>
        <v>315180.99</v>
      </c>
      <c r="O53" s="15">
        <f t="shared" si="11"/>
        <v>0.28381299572005442</v>
      </c>
      <c r="P53" s="17"/>
    </row>
    <row r="54" spans="1:16">
      <c r="A54" s="4" t="s">
        <v>34</v>
      </c>
      <c r="B54" s="4" t="s">
        <v>18</v>
      </c>
      <c r="C54" s="4" t="s">
        <v>23</v>
      </c>
      <c r="D54" s="5">
        <v>539</v>
      </c>
      <c r="E54" s="6">
        <v>221.65</v>
      </c>
      <c r="F54" s="7">
        <f t="shared" si="6"/>
        <v>119469.35</v>
      </c>
      <c r="G54" s="5">
        <v>531</v>
      </c>
      <c r="H54" s="6">
        <v>227.19</v>
      </c>
      <c r="I54" s="7">
        <f t="shared" si="7"/>
        <v>120637.89</v>
      </c>
      <c r="J54" s="7">
        <f t="shared" si="8"/>
        <v>1168.5399999999936</v>
      </c>
      <c r="K54" s="8">
        <f t="shared" si="9"/>
        <v>9.781086111207548E-3</v>
      </c>
      <c r="L54" s="9">
        <v>4</v>
      </c>
      <c r="M54" s="10" t="s">
        <v>22</v>
      </c>
      <c r="N54" s="7">
        <f t="shared" si="10"/>
        <v>459255.51</v>
      </c>
      <c r="O54" s="8">
        <f t="shared" si="11"/>
        <v>0.29321787061831295</v>
      </c>
      <c r="P54" s="11"/>
    </row>
    <row r="55" spans="1:16">
      <c r="A55" s="1" t="s">
        <v>34</v>
      </c>
      <c r="B55" s="1" t="s">
        <v>18</v>
      </c>
      <c r="C55" s="1" t="s">
        <v>24</v>
      </c>
      <c r="D55" s="12">
        <v>862</v>
      </c>
      <c r="E55" s="13">
        <v>95.71</v>
      </c>
      <c r="F55" s="14">
        <f t="shared" si="6"/>
        <v>82502.01999999999</v>
      </c>
      <c r="G55" s="12">
        <v>827</v>
      </c>
      <c r="H55" s="13">
        <v>94.1</v>
      </c>
      <c r="I55" s="14">
        <f t="shared" si="7"/>
        <v>77820.7</v>
      </c>
      <c r="J55" s="14">
        <f t="shared" si="8"/>
        <v>-4681.3199999999924</v>
      </c>
      <c r="K55" s="15">
        <f t="shared" si="9"/>
        <v>-5.6741883410854586E-2</v>
      </c>
      <c r="L55" s="9">
        <v>4</v>
      </c>
      <c r="M55" s="16" t="s">
        <v>20</v>
      </c>
      <c r="N55" s="14">
        <f t="shared" si="10"/>
        <v>289421.03999999998</v>
      </c>
      <c r="O55" s="15">
        <f t="shared" si="11"/>
        <v>0.26747409506709746</v>
      </c>
      <c r="P55" s="17"/>
    </row>
    <row r="56" spans="1:16">
      <c r="A56" s="4" t="s">
        <v>34</v>
      </c>
      <c r="B56" s="4" t="s">
        <v>25</v>
      </c>
      <c r="C56" s="4" t="s">
        <v>19</v>
      </c>
      <c r="D56" s="5">
        <v>1725</v>
      </c>
      <c r="E56" s="6">
        <v>45.34</v>
      </c>
      <c r="F56" s="7">
        <f t="shared" si="6"/>
        <v>78211.5</v>
      </c>
      <c r="G56" s="5">
        <v>1761</v>
      </c>
      <c r="H56" s="6">
        <v>45.77</v>
      </c>
      <c r="I56" s="7">
        <f t="shared" si="7"/>
        <v>80600.97</v>
      </c>
      <c r="J56" s="7">
        <f t="shared" si="8"/>
        <v>2389.4700000000012</v>
      </c>
      <c r="K56" s="8">
        <f t="shared" si="9"/>
        <v>3.0551389501543905E-2</v>
      </c>
      <c r="L56" s="9">
        <v>4</v>
      </c>
      <c r="M56" s="10" t="s">
        <v>20</v>
      </c>
      <c r="N56" s="7">
        <f t="shared" si="10"/>
        <v>282692.02</v>
      </c>
      <c r="O56" s="8">
        <f t="shared" si="11"/>
        <v>0.27577266326065947</v>
      </c>
      <c r="P56" s="11"/>
    </row>
    <row r="57" spans="1:16">
      <c r="A57" s="1" t="s">
        <v>34</v>
      </c>
      <c r="B57" s="1" t="s">
        <v>25</v>
      </c>
      <c r="C57" s="1" t="s">
        <v>21</v>
      </c>
      <c r="D57" s="12">
        <v>1035</v>
      </c>
      <c r="E57" s="13">
        <v>65.489999999999995</v>
      </c>
      <c r="F57" s="14">
        <f t="shared" si="6"/>
        <v>67782.149999999994</v>
      </c>
      <c r="G57" s="12">
        <v>1088</v>
      </c>
      <c r="H57" s="13">
        <v>64.37</v>
      </c>
      <c r="I57" s="14">
        <f t="shared" si="7"/>
        <v>70034.559999999998</v>
      </c>
      <c r="J57" s="14">
        <f t="shared" si="8"/>
        <v>2252.4100000000035</v>
      </c>
      <c r="K57" s="15">
        <f t="shared" si="9"/>
        <v>3.3230135072434316E-2</v>
      </c>
      <c r="L57" s="9">
        <v>4</v>
      </c>
      <c r="M57" s="16" t="s">
        <v>20</v>
      </c>
      <c r="N57" s="14">
        <f t="shared" si="10"/>
        <v>256340.4</v>
      </c>
      <c r="O57" s="15">
        <f t="shared" si="11"/>
        <v>0.2885355095439775</v>
      </c>
      <c r="P57" s="17"/>
    </row>
    <row r="58" spans="1:16">
      <c r="A58" s="4" t="s">
        <v>34</v>
      </c>
      <c r="B58" s="4" t="s">
        <v>25</v>
      </c>
      <c r="C58" s="4" t="s">
        <v>23</v>
      </c>
      <c r="D58" s="5">
        <v>431</v>
      </c>
      <c r="E58" s="6">
        <v>221.65</v>
      </c>
      <c r="F58" s="7">
        <f t="shared" si="6"/>
        <v>95531.150000000009</v>
      </c>
      <c r="G58" s="5">
        <v>395</v>
      </c>
      <c r="H58" s="6">
        <v>220.88</v>
      </c>
      <c r="I58" s="7">
        <f t="shared" si="7"/>
        <v>87247.599999999991</v>
      </c>
      <c r="J58" s="7">
        <f t="shared" si="8"/>
        <v>-8283.5500000000175</v>
      </c>
      <c r="K58" s="8">
        <f t="shared" si="9"/>
        <v>-8.6710460410033968E-2</v>
      </c>
      <c r="L58" s="9">
        <v>4</v>
      </c>
      <c r="M58" s="10" t="s">
        <v>22</v>
      </c>
      <c r="N58" s="7">
        <f t="shared" si="10"/>
        <v>357720.99</v>
      </c>
      <c r="O58" s="8">
        <f t="shared" si="11"/>
        <v>0.28550988658651572</v>
      </c>
      <c r="P58" s="11"/>
    </row>
    <row r="59" spans="1:16">
      <c r="A59" s="1" t="s">
        <v>34</v>
      </c>
      <c r="B59" s="1" t="s">
        <v>25</v>
      </c>
      <c r="C59" s="1" t="s">
        <v>24</v>
      </c>
      <c r="D59" s="12">
        <v>690</v>
      </c>
      <c r="E59" s="13">
        <v>95.71</v>
      </c>
      <c r="F59" s="14">
        <f t="shared" si="6"/>
        <v>66039.899999999994</v>
      </c>
      <c r="G59" s="12">
        <v>666</v>
      </c>
      <c r="H59" s="13">
        <v>96.12</v>
      </c>
      <c r="I59" s="14">
        <f t="shared" si="7"/>
        <v>64015.920000000006</v>
      </c>
      <c r="J59" s="14">
        <f t="shared" si="8"/>
        <v>-2023.9799999999886</v>
      </c>
      <c r="K59" s="15">
        <f t="shared" si="9"/>
        <v>-3.0647835626643725E-2</v>
      </c>
      <c r="L59" s="9">
        <v>4</v>
      </c>
      <c r="M59" s="16" t="s">
        <v>22</v>
      </c>
      <c r="N59" s="14">
        <f t="shared" si="10"/>
        <v>238489.56000000003</v>
      </c>
      <c r="O59" s="15">
        <f t="shared" si="11"/>
        <v>0.27553661834574922</v>
      </c>
      <c r="P59" s="17"/>
    </row>
    <row r="60" spans="1:16">
      <c r="A60" s="4" t="s">
        <v>34</v>
      </c>
      <c r="B60" s="4" t="s">
        <v>26</v>
      </c>
      <c r="C60" s="4" t="s">
        <v>19</v>
      </c>
      <c r="D60" s="5">
        <v>1960</v>
      </c>
      <c r="E60" s="6">
        <v>45.34</v>
      </c>
      <c r="F60" s="7">
        <f t="shared" si="6"/>
        <v>88866.400000000009</v>
      </c>
      <c r="G60" s="5">
        <v>2067</v>
      </c>
      <c r="H60" s="6">
        <v>46.43</v>
      </c>
      <c r="I60" s="7">
        <f t="shared" si="7"/>
        <v>95970.81</v>
      </c>
      <c r="J60" s="7">
        <f t="shared" si="8"/>
        <v>7104.4099999999889</v>
      </c>
      <c r="K60" s="8">
        <f t="shared" si="9"/>
        <v>7.9944838544151534E-2</v>
      </c>
      <c r="L60" s="9">
        <v>4</v>
      </c>
      <c r="M60" s="10" t="s">
        <v>22</v>
      </c>
      <c r="N60" s="7">
        <f t="shared" si="10"/>
        <v>343318.71</v>
      </c>
      <c r="O60" s="8">
        <f t="shared" si="11"/>
        <v>0.29472564280683705</v>
      </c>
      <c r="P60" s="11"/>
    </row>
    <row r="61" spans="1:16">
      <c r="A61" s="1" t="s">
        <v>34</v>
      </c>
      <c r="B61" s="1" t="s">
        <v>26</v>
      </c>
      <c r="C61" s="1" t="s">
        <v>21</v>
      </c>
      <c r="D61" s="12">
        <v>1176</v>
      </c>
      <c r="E61" s="13">
        <v>65.489999999999995</v>
      </c>
      <c r="F61" s="14">
        <f t="shared" si="6"/>
        <v>77016.239999999991</v>
      </c>
      <c r="G61" s="12">
        <v>1127</v>
      </c>
      <c r="H61" s="13">
        <v>65.73</v>
      </c>
      <c r="I61" s="14">
        <f t="shared" si="7"/>
        <v>74077.710000000006</v>
      </c>
      <c r="J61" s="14">
        <f t="shared" si="8"/>
        <v>-2938.5299999999843</v>
      </c>
      <c r="K61" s="15">
        <f t="shared" si="9"/>
        <v>-3.8154680103832446E-2</v>
      </c>
      <c r="L61" s="9">
        <v>4</v>
      </c>
      <c r="M61" s="16" t="s">
        <v>20</v>
      </c>
      <c r="N61" s="14">
        <f t="shared" si="10"/>
        <v>273205.33</v>
      </c>
      <c r="O61" s="15">
        <f t="shared" si="11"/>
        <v>0.27061635416436375</v>
      </c>
      <c r="P61" s="17"/>
    </row>
    <row r="62" spans="1:16">
      <c r="A62" s="4" t="s">
        <v>34</v>
      </c>
      <c r="B62" s="4" t="s">
        <v>26</v>
      </c>
      <c r="C62" s="4" t="s">
        <v>23</v>
      </c>
      <c r="D62" s="5">
        <v>490</v>
      </c>
      <c r="E62" s="6">
        <v>221.65</v>
      </c>
      <c r="F62" s="7">
        <f t="shared" si="6"/>
        <v>108608.5</v>
      </c>
      <c r="G62" s="5">
        <v>455</v>
      </c>
      <c r="H62" s="6">
        <v>224.52</v>
      </c>
      <c r="I62" s="7">
        <f t="shared" si="7"/>
        <v>102156.6</v>
      </c>
      <c r="J62" s="7">
        <f t="shared" si="8"/>
        <v>-6451.8999999999942</v>
      </c>
      <c r="K62" s="8">
        <f t="shared" si="9"/>
        <v>-5.9405111018014191E-2</v>
      </c>
      <c r="L62" s="9">
        <v>4</v>
      </c>
      <c r="M62" s="10" t="s">
        <v>20</v>
      </c>
      <c r="N62" s="7">
        <f t="shared" si="10"/>
        <v>404182.97</v>
      </c>
      <c r="O62" s="8">
        <f t="shared" si="11"/>
        <v>0.28388140954954927</v>
      </c>
      <c r="P62" s="11"/>
    </row>
    <row r="63" spans="1:16">
      <c r="A63" s="1" t="s">
        <v>34</v>
      </c>
      <c r="B63" s="1" t="s">
        <v>26</v>
      </c>
      <c r="C63" s="1" t="s">
        <v>24</v>
      </c>
      <c r="D63" s="12">
        <v>784</v>
      </c>
      <c r="E63" s="13">
        <v>95.71</v>
      </c>
      <c r="F63" s="14">
        <f t="shared" si="6"/>
        <v>75036.639999999999</v>
      </c>
      <c r="G63" s="12">
        <v>778</v>
      </c>
      <c r="H63" s="13">
        <v>97.93</v>
      </c>
      <c r="I63" s="14">
        <f t="shared" si="7"/>
        <v>76189.540000000008</v>
      </c>
      <c r="J63" s="14">
        <f t="shared" si="8"/>
        <v>1152.9000000000087</v>
      </c>
      <c r="K63" s="15">
        <f t="shared" si="9"/>
        <v>1.5364493932564262E-2</v>
      </c>
      <c r="L63" s="9">
        <v>4</v>
      </c>
      <c r="M63" s="16" t="s">
        <v>20</v>
      </c>
      <c r="N63" s="14">
        <f t="shared" si="10"/>
        <v>280430.82999999996</v>
      </c>
      <c r="O63" s="15">
        <f t="shared" si="11"/>
        <v>0.2850822548771561</v>
      </c>
      <c r="P63" s="17"/>
    </row>
    <row r="64" spans="1:16">
      <c r="A64" s="4" t="s">
        <v>34</v>
      </c>
      <c r="B64" s="4" t="s">
        <v>27</v>
      </c>
      <c r="C64" s="4" t="s">
        <v>19</v>
      </c>
      <c r="D64" s="5">
        <v>2313</v>
      </c>
      <c r="E64" s="6">
        <v>45.34</v>
      </c>
      <c r="F64" s="7">
        <f t="shared" si="6"/>
        <v>104871.42000000001</v>
      </c>
      <c r="G64" s="5">
        <v>2407</v>
      </c>
      <c r="H64" s="6">
        <v>45.9</v>
      </c>
      <c r="I64" s="7">
        <f t="shared" si="7"/>
        <v>110481.3</v>
      </c>
      <c r="J64" s="7">
        <f t="shared" si="8"/>
        <v>5609.8799999999901</v>
      </c>
      <c r="K64" s="8">
        <f t="shared" si="9"/>
        <v>5.3492934490636149E-2</v>
      </c>
      <c r="L64" s="9">
        <v>4</v>
      </c>
      <c r="M64" s="10" t="s">
        <v>20</v>
      </c>
      <c r="N64" s="7">
        <f t="shared" si="10"/>
        <v>389060.13999999996</v>
      </c>
      <c r="O64" s="8">
        <f t="shared" si="11"/>
        <v>0.28304474555620773</v>
      </c>
      <c r="P64" s="11"/>
    </row>
    <row r="65" spans="1:16">
      <c r="A65" s="1" t="s">
        <v>34</v>
      </c>
      <c r="B65" s="1" t="s">
        <v>27</v>
      </c>
      <c r="C65" s="1" t="s">
        <v>21</v>
      </c>
      <c r="D65" s="12">
        <v>1388</v>
      </c>
      <c r="E65" s="13">
        <v>65.489999999999995</v>
      </c>
      <c r="F65" s="14">
        <f t="shared" si="6"/>
        <v>90900.12</v>
      </c>
      <c r="G65" s="12">
        <v>1465</v>
      </c>
      <c r="H65" s="13">
        <v>66.8</v>
      </c>
      <c r="I65" s="14">
        <f t="shared" si="7"/>
        <v>97862</v>
      </c>
      <c r="J65" s="14">
        <f t="shared" si="8"/>
        <v>6961.8800000000047</v>
      </c>
      <c r="K65" s="15">
        <f t="shared" si="9"/>
        <v>7.6588237727298988E-2</v>
      </c>
      <c r="L65" s="9">
        <v>4</v>
      </c>
      <c r="M65" s="16" t="s">
        <v>20</v>
      </c>
      <c r="N65" s="14">
        <f t="shared" si="10"/>
        <v>351705.77</v>
      </c>
      <c r="O65" s="15">
        <f t="shared" si="11"/>
        <v>0.29523118052139435</v>
      </c>
      <c r="P65" s="17"/>
    </row>
    <row r="66" spans="1:16">
      <c r="A66" s="4" t="s">
        <v>34</v>
      </c>
      <c r="B66" s="4" t="s">
        <v>27</v>
      </c>
      <c r="C66" s="4" t="s">
        <v>23</v>
      </c>
      <c r="D66" s="5">
        <v>578</v>
      </c>
      <c r="E66" s="6">
        <v>221.65</v>
      </c>
      <c r="F66" s="7">
        <f t="shared" si="6"/>
        <v>128113.7</v>
      </c>
      <c r="G66" s="5">
        <v>548</v>
      </c>
      <c r="H66" s="6">
        <v>223.16</v>
      </c>
      <c r="I66" s="7">
        <f t="shared" si="7"/>
        <v>122291.68</v>
      </c>
      <c r="J66" s="7">
        <f t="shared" si="8"/>
        <v>-5822.0200000000041</v>
      </c>
      <c r="K66" s="8">
        <f t="shared" si="9"/>
        <v>-4.5444164051151474E-2</v>
      </c>
      <c r="L66" s="9">
        <v>4</v>
      </c>
      <c r="M66" s="10" t="s">
        <v>20</v>
      </c>
      <c r="N66" s="7">
        <f t="shared" si="10"/>
        <v>455275.92</v>
      </c>
      <c r="O66" s="8">
        <f t="shared" si="11"/>
        <v>0.27097161944430442</v>
      </c>
      <c r="P66" s="11"/>
    </row>
    <row r="67" spans="1:16">
      <c r="A67" s="1" t="s">
        <v>34</v>
      </c>
      <c r="B67" s="1" t="s">
        <v>27</v>
      </c>
      <c r="C67" s="1" t="s">
        <v>24</v>
      </c>
      <c r="D67" s="12">
        <v>925</v>
      </c>
      <c r="E67" s="13">
        <v>95.71</v>
      </c>
      <c r="F67" s="14">
        <f t="shared" si="6"/>
        <v>88531.75</v>
      </c>
      <c r="G67" s="12">
        <v>876</v>
      </c>
      <c r="H67" s="13">
        <v>96.01</v>
      </c>
      <c r="I67" s="14">
        <f t="shared" si="7"/>
        <v>84104.760000000009</v>
      </c>
      <c r="J67" s="14">
        <f t="shared" si="8"/>
        <v>-4426.9899999999907</v>
      </c>
      <c r="K67" s="15">
        <f t="shared" si="9"/>
        <v>-5.0004546391548686E-2</v>
      </c>
      <c r="L67" s="9">
        <v>4</v>
      </c>
      <c r="M67" s="16" t="s">
        <v>28</v>
      </c>
      <c r="N67" s="14">
        <f t="shared" si="10"/>
        <v>317055</v>
      </c>
      <c r="O67" s="15">
        <f t="shared" si="11"/>
        <v>0.27314736425005465</v>
      </c>
      <c r="P67" s="17"/>
    </row>
    <row r="68" spans="1:16">
      <c r="A68" s="4" t="s">
        <v>35</v>
      </c>
      <c r="B68" s="4" t="s">
        <v>18</v>
      </c>
      <c r="C68" s="4" t="s">
        <v>19</v>
      </c>
      <c r="D68" s="5">
        <v>2200</v>
      </c>
      <c r="E68" s="6">
        <v>45.45</v>
      </c>
      <c r="F68" s="7">
        <f t="shared" ref="F68:F99" si="12">D68*E68</f>
        <v>99990</v>
      </c>
      <c r="G68" s="5">
        <v>2035</v>
      </c>
      <c r="H68" s="6">
        <v>46.38</v>
      </c>
      <c r="I68" s="7">
        <f t="shared" ref="I68:I99" si="13">G68*H68</f>
        <v>94383.3</v>
      </c>
      <c r="J68" s="7">
        <f t="shared" ref="J68:J99" si="14">I68-F68</f>
        <v>-5606.6999999999971</v>
      </c>
      <c r="K68" s="8">
        <f t="shared" ref="K68:K99" si="15">IFERROR(J68/F68,0)</f>
        <v>-5.6072607260726041E-2</v>
      </c>
      <c r="L68" s="9">
        <v>5</v>
      </c>
      <c r="M68" s="10" t="s">
        <v>28</v>
      </c>
      <c r="N68" s="7">
        <f t="shared" ref="N68:N99" si="16">SUMIFS($I$4:$I$195,$B$4:$B$195,B68,$C$4:$C$195,C68,$L$4:$L$195,"&lt;="&amp;L68)</f>
        <v>464564.42</v>
      </c>
      <c r="O68" s="8">
        <f t="shared" ref="O68:O99" si="17">IFERROR(N68/SUMIFS($F$4:$F$195,$B$4:$B$195,B68,$C$4:$C$195,C68),0)</f>
        <v>0.36255484354646189</v>
      </c>
      <c r="P68" s="11"/>
    </row>
    <row r="69" spans="1:16">
      <c r="A69" s="1" t="s">
        <v>35</v>
      </c>
      <c r="B69" s="1" t="s">
        <v>18</v>
      </c>
      <c r="C69" s="1" t="s">
        <v>21</v>
      </c>
      <c r="D69" s="12">
        <v>1320</v>
      </c>
      <c r="E69" s="13">
        <v>65.650000000000006</v>
      </c>
      <c r="F69" s="14">
        <f t="shared" si="12"/>
        <v>86658.000000000015</v>
      </c>
      <c r="G69" s="12">
        <v>1227</v>
      </c>
      <c r="H69" s="13">
        <v>66.48</v>
      </c>
      <c r="I69" s="14">
        <f t="shared" si="13"/>
        <v>81570.960000000006</v>
      </c>
      <c r="J69" s="14">
        <f t="shared" si="14"/>
        <v>-5087.0400000000081</v>
      </c>
      <c r="K69" s="15">
        <f t="shared" si="15"/>
        <v>-5.8702485633178786E-2</v>
      </c>
      <c r="L69" s="9">
        <v>5</v>
      </c>
      <c r="M69" s="16" t="s">
        <v>22</v>
      </c>
      <c r="N69" s="14">
        <f t="shared" si="16"/>
        <v>396751.95</v>
      </c>
      <c r="O69" s="15">
        <f t="shared" si="17"/>
        <v>0.35726570783115202</v>
      </c>
      <c r="P69" s="17"/>
    </row>
    <row r="70" spans="1:16">
      <c r="A70" s="4" t="s">
        <v>35</v>
      </c>
      <c r="B70" s="4" t="s">
        <v>18</v>
      </c>
      <c r="C70" s="4" t="s">
        <v>23</v>
      </c>
      <c r="D70" s="5">
        <v>550</v>
      </c>
      <c r="E70" s="6">
        <v>222.2</v>
      </c>
      <c r="F70" s="7">
        <f t="shared" si="12"/>
        <v>122210</v>
      </c>
      <c r="G70" s="5">
        <v>502</v>
      </c>
      <c r="H70" s="6">
        <v>218.79</v>
      </c>
      <c r="I70" s="7">
        <f t="shared" si="13"/>
        <v>109832.58</v>
      </c>
      <c r="J70" s="7">
        <f t="shared" si="14"/>
        <v>-12377.419999999998</v>
      </c>
      <c r="K70" s="8">
        <f t="shared" si="15"/>
        <v>-0.10127992799279927</v>
      </c>
      <c r="L70" s="9">
        <v>5</v>
      </c>
      <c r="M70" s="10" t="s">
        <v>22</v>
      </c>
      <c r="N70" s="7">
        <f t="shared" si="16"/>
        <v>569088.09</v>
      </c>
      <c r="O70" s="8">
        <f t="shared" si="17"/>
        <v>0.36334196174160832</v>
      </c>
      <c r="P70" s="11"/>
    </row>
    <row r="71" spans="1:16">
      <c r="A71" s="1" t="s">
        <v>35</v>
      </c>
      <c r="B71" s="1" t="s">
        <v>18</v>
      </c>
      <c r="C71" s="1" t="s">
        <v>24</v>
      </c>
      <c r="D71" s="12">
        <v>880</v>
      </c>
      <c r="E71" s="13">
        <v>95.95</v>
      </c>
      <c r="F71" s="14">
        <f t="shared" si="12"/>
        <v>84436</v>
      </c>
      <c r="G71" s="12">
        <v>842</v>
      </c>
      <c r="H71" s="13">
        <v>95.98</v>
      </c>
      <c r="I71" s="14">
        <f t="shared" si="13"/>
        <v>80815.16</v>
      </c>
      <c r="J71" s="14">
        <f t="shared" si="14"/>
        <v>-3620.8399999999965</v>
      </c>
      <c r="K71" s="15">
        <f t="shared" si="15"/>
        <v>-4.2882656686721261E-2</v>
      </c>
      <c r="L71" s="9">
        <v>5</v>
      </c>
      <c r="M71" s="16" t="s">
        <v>22</v>
      </c>
      <c r="N71" s="14">
        <f t="shared" si="16"/>
        <v>370236.19999999995</v>
      </c>
      <c r="O71" s="15">
        <f t="shared" si="17"/>
        <v>0.34216100030626967</v>
      </c>
      <c r="P71" s="17"/>
    </row>
    <row r="72" spans="1:16">
      <c r="A72" s="4" t="s">
        <v>35</v>
      </c>
      <c r="B72" s="4" t="s">
        <v>25</v>
      </c>
      <c r="C72" s="4" t="s">
        <v>19</v>
      </c>
      <c r="D72" s="5">
        <v>1760</v>
      </c>
      <c r="E72" s="6">
        <v>45.45</v>
      </c>
      <c r="F72" s="7">
        <f t="shared" si="12"/>
        <v>79992</v>
      </c>
      <c r="G72" s="5">
        <v>1906</v>
      </c>
      <c r="H72" s="6">
        <v>46.59</v>
      </c>
      <c r="I72" s="7">
        <f t="shared" si="13"/>
        <v>88800.540000000008</v>
      </c>
      <c r="J72" s="7">
        <f t="shared" si="14"/>
        <v>8808.5400000000081</v>
      </c>
      <c r="K72" s="8">
        <f t="shared" si="15"/>
        <v>0.11011776177617771</v>
      </c>
      <c r="L72" s="9">
        <v>5</v>
      </c>
      <c r="M72" s="10" t="s">
        <v>20</v>
      </c>
      <c r="N72" s="7">
        <f t="shared" si="16"/>
        <v>371492.56000000006</v>
      </c>
      <c r="O72" s="8">
        <f t="shared" si="17"/>
        <v>0.36239966254696665</v>
      </c>
      <c r="P72" s="11"/>
    </row>
    <row r="73" spans="1:16">
      <c r="A73" s="1" t="s">
        <v>35</v>
      </c>
      <c r="B73" s="1" t="s">
        <v>25</v>
      </c>
      <c r="C73" s="1" t="s">
        <v>21</v>
      </c>
      <c r="D73" s="12">
        <v>1056</v>
      </c>
      <c r="E73" s="13">
        <v>65.650000000000006</v>
      </c>
      <c r="F73" s="14">
        <f t="shared" si="12"/>
        <v>69326.400000000009</v>
      </c>
      <c r="G73" s="12">
        <v>961</v>
      </c>
      <c r="H73" s="13">
        <v>65.62</v>
      </c>
      <c r="I73" s="14">
        <f t="shared" si="13"/>
        <v>63060.820000000007</v>
      </c>
      <c r="J73" s="14">
        <f t="shared" si="14"/>
        <v>-6265.5800000000017</v>
      </c>
      <c r="K73" s="15">
        <f t="shared" si="15"/>
        <v>-9.0377980105702888E-2</v>
      </c>
      <c r="L73" s="9">
        <v>5</v>
      </c>
      <c r="M73" s="16" t="s">
        <v>28</v>
      </c>
      <c r="N73" s="14">
        <f t="shared" si="16"/>
        <v>319401.21999999997</v>
      </c>
      <c r="O73" s="15">
        <f t="shared" si="17"/>
        <v>0.35951646233550405</v>
      </c>
      <c r="P73" s="17"/>
    </row>
    <row r="74" spans="1:16">
      <c r="A74" s="4" t="s">
        <v>35</v>
      </c>
      <c r="B74" s="4" t="s">
        <v>25</v>
      </c>
      <c r="C74" s="4" t="s">
        <v>23</v>
      </c>
      <c r="D74" s="5">
        <v>440</v>
      </c>
      <c r="E74" s="6">
        <v>222.2</v>
      </c>
      <c r="F74" s="7">
        <f t="shared" si="12"/>
        <v>97768</v>
      </c>
      <c r="G74" s="5">
        <v>469</v>
      </c>
      <c r="H74" s="6">
        <v>220.93</v>
      </c>
      <c r="I74" s="7">
        <f t="shared" si="13"/>
        <v>103616.17</v>
      </c>
      <c r="J74" s="7">
        <f t="shared" si="14"/>
        <v>5848.1699999999983</v>
      </c>
      <c r="K74" s="8">
        <f t="shared" si="15"/>
        <v>5.9816811226577185E-2</v>
      </c>
      <c r="L74" s="9">
        <v>5</v>
      </c>
      <c r="M74" s="10" t="s">
        <v>22</v>
      </c>
      <c r="N74" s="7">
        <f t="shared" si="16"/>
        <v>461337.16</v>
      </c>
      <c r="O74" s="8">
        <f t="shared" si="17"/>
        <v>0.36820964917307553</v>
      </c>
      <c r="P74" s="11"/>
    </row>
    <row r="75" spans="1:16">
      <c r="A75" s="1" t="s">
        <v>35</v>
      </c>
      <c r="B75" s="1" t="s">
        <v>25</v>
      </c>
      <c r="C75" s="1" t="s">
        <v>24</v>
      </c>
      <c r="D75" s="12">
        <v>704</v>
      </c>
      <c r="E75" s="13">
        <v>95.95</v>
      </c>
      <c r="F75" s="14">
        <f t="shared" si="12"/>
        <v>67548.800000000003</v>
      </c>
      <c r="G75" s="12">
        <v>743</v>
      </c>
      <c r="H75" s="13">
        <v>97.79</v>
      </c>
      <c r="I75" s="14">
        <f t="shared" si="13"/>
        <v>72657.97</v>
      </c>
      <c r="J75" s="14">
        <f t="shared" si="14"/>
        <v>5109.1699999999983</v>
      </c>
      <c r="K75" s="15">
        <f t="shared" si="15"/>
        <v>7.5636724856696161E-2</v>
      </c>
      <c r="L75" s="9">
        <v>5</v>
      </c>
      <c r="M75" s="16" t="s">
        <v>22</v>
      </c>
      <c r="N75" s="14">
        <f t="shared" si="16"/>
        <v>311147.53000000003</v>
      </c>
      <c r="O75" s="15">
        <f t="shared" si="17"/>
        <v>0.35948130485390029</v>
      </c>
      <c r="P75" s="17"/>
    </row>
    <row r="76" spans="1:16">
      <c r="A76" s="4" t="s">
        <v>35</v>
      </c>
      <c r="B76" s="4" t="s">
        <v>26</v>
      </c>
      <c r="C76" s="4" t="s">
        <v>19</v>
      </c>
      <c r="D76" s="5">
        <v>2000</v>
      </c>
      <c r="E76" s="6">
        <v>45.45</v>
      </c>
      <c r="F76" s="7">
        <f t="shared" si="12"/>
        <v>90900</v>
      </c>
      <c r="G76" s="5">
        <v>2015</v>
      </c>
      <c r="H76" s="6">
        <v>44.97</v>
      </c>
      <c r="I76" s="7">
        <f t="shared" si="13"/>
        <v>90614.55</v>
      </c>
      <c r="J76" s="7">
        <f t="shared" si="14"/>
        <v>-285.44999999999709</v>
      </c>
      <c r="K76" s="8">
        <f t="shared" si="15"/>
        <v>-3.1402640264026082E-3</v>
      </c>
      <c r="L76" s="9">
        <v>5</v>
      </c>
      <c r="M76" s="10" t="s">
        <v>20</v>
      </c>
      <c r="N76" s="7">
        <f t="shared" si="16"/>
        <v>433933.26</v>
      </c>
      <c r="O76" s="8">
        <f t="shared" si="17"/>
        <v>0.37251467882063971</v>
      </c>
      <c r="P76" s="11"/>
    </row>
    <row r="77" spans="1:16">
      <c r="A77" s="1" t="s">
        <v>35</v>
      </c>
      <c r="B77" s="1" t="s">
        <v>26</v>
      </c>
      <c r="C77" s="1" t="s">
        <v>21</v>
      </c>
      <c r="D77" s="12">
        <v>1200</v>
      </c>
      <c r="E77" s="13">
        <v>65.650000000000006</v>
      </c>
      <c r="F77" s="14">
        <f t="shared" si="12"/>
        <v>78780</v>
      </c>
      <c r="G77" s="12">
        <v>1106</v>
      </c>
      <c r="H77" s="13">
        <v>66.75</v>
      </c>
      <c r="I77" s="14">
        <f t="shared" si="13"/>
        <v>73825.5</v>
      </c>
      <c r="J77" s="14">
        <f t="shared" si="14"/>
        <v>-4954.5</v>
      </c>
      <c r="K77" s="15">
        <f t="shared" si="15"/>
        <v>-6.2890327494287884E-2</v>
      </c>
      <c r="L77" s="9">
        <v>5</v>
      </c>
      <c r="M77" s="16" t="s">
        <v>20</v>
      </c>
      <c r="N77" s="14">
        <f t="shared" si="16"/>
        <v>347030.83</v>
      </c>
      <c r="O77" s="15">
        <f t="shared" si="17"/>
        <v>0.34374226153359855</v>
      </c>
      <c r="P77" s="17"/>
    </row>
    <row r="78" spans="1:16">
      <c r="A78" s="4" t="s">
        <v>35</v>
      </c>
      <c r="B78" s="4" t="s">
        <v>26</v>
      </c>
      <c r="C78" s="4" t="s">
        <v>23</v>
      </c>
      <c r="D78" s="5">
        <v>500</v>
      </c>
      <c r="E78" s="6">
        <v>222.2</v>
      </c>
      <c r="F78" s="7">
        <f t="shared" si="12"/>
        <v>111100</v>
      </c>
      <c r="G78" s="5">
        <v>486</v>
      </c>
      <c r="H78" s="6">
        <v>218.31</v>
      </c>
      <c r="I78" s="7">
        <f t="shared" si="13"/>
        <v>106098.66</v>
      </c>
      <c r="J78" s="7">
        <f t="shared" si="14"/>
        <v>-5001.3399999999965</v>
      </c>
      <c r="K78" s="8">
        <f t="shared" si="15"/>
        <v>-4.5016561656165584E-2</v>
      </c>
      <c r="L78" s="9">
        <v>5</v>
      </c>
      <c r="M78" s="10" t="s">
        <v>22</v>
      </c>
      <c r="N78" s="7">
        <f t="shared" si="16"/>
        <v>510281.63</v>
      </c>
      <c r="O78" s="8">
        <f t="shared" si="17"/>
        <v>0.35840072230564685</v>
      </c>
      <c r="P78" s="11"/>
    </row>
    <row r="79" spans="1:16">
      <c r="A79" s="1" t="s">
        <v>35</v>
      </c>
      <c r="B79" s="1" t="s">
        <v>26</v>
      </c>
      <c r="C79" s="1" t="s">
        <v>24</v>
      </c>
      <c r="D79" s="12">
        <v>800</v>
      </c>
      <c r="E79" s="13">
        <v>95.95</v>
      </c>
      <c r="F79" s="14">
        <f t="shared" si="12"/>
        <v>76760</v>
      </c>
      <c r="G79" s="12">
        <v>875</v>
      </c>
      <c r="H79" s="13">
        <v>96.58</v>
      </c>
      <c r="I79" s="14">
        <f t="shared" si="13"/>
        <v>84507.5</v>
      </c>
      <c r="J79" s="14">
        <f t="shared" si="14"/>
        <v>7747.5</v>
      </c>
      <c r="K79" s="15">
        <f t="shared" si="15"/>
        <v>0.10093147472642001</v>
      </c>
      <c r="L79" s="9">
        <v>5</v>
      </c>
      <c r="M79" s="16" t="s">
        <v>20</v>
      </c>
      <c r="N79" s="14">
        <f t="shared" si="16"/>
        <v>364938.32999999996</v>
      </c>
      <c r="O79" s="15">
        <f t="shared" si="17"/>
        <v>0.3709914562799807</v>
      </c>
      <c r="P79" s="17"/>
    </row>
    <row r="80" spans="1:16">
      <c r="A80" s="4" t="s">
        <v>35</v>
      </c>
      <c r="B80" s="4" t="s">
        <v>27</v>
      </c>
      <c r="C80" s="4" t="s">
        <v>19</v>
      </c>
      <c r="D80" s="5">
        <v>2360</v>
      </c>
      <c r="E80" s="6">
        <v>45.45</v>
      </c>
      <c r="F80" s="7">
        <f t="shared" si="12"/>
        <v>107262</v>
      </c>
      <c r="G80" s="5">
        <v>2387</v>
      </c>
      <c r="H80" s="6">
        <v>46.48</v>
      </c>
      <c r="I80" s="7">
        <f t="shared" si="13"/>
        <v>110947.76</v>
      </c>
      <c r="J80" s="7">
        <f t="shared" si="14"/>
        <v>3685.7599999999948</v>
      </c>
      <c r="K80" s="8">
        <f t="shared" si="15"/>
        <v>3.4362215882605164E-2</v>
      </c>
      <c r="L80" s="9">
        <v>5</v>
      </c>
      <c r="M80" s="10" t="s">
        <v>20</v>
      </c>
      <c r="N80" s="7">
        <f t="shared" si="16"/>
        <v>500007.89999999997</v>
      </c>
      <c r="O80" s="8">
        <f t="shared" si="17"/>
        <v>0.3637602372517364</v>
      </c>
      <c r="P80" s="11"/>
    </row>
    <row r="81" spans="1:16">
      <c r="A81" s="1" t="s">
        <v>35</v>
      </c>
      <c r="B81" s="1" t="s">
        <v>27</v>
      </c>
      <c r="C81" s="1" t="s">
        <v>21</v>
      </c>
      <c r="D81" s="12">
        <v>1416</v>
      </c>
      <c r="E81" s="13">
        <v>65.650000000000006</v>
      </c>
      <c r="F81" s="14">
        <f t="shared" si="12"/>
        <v>92960.400000000009</v>
      </c>
      <c r="G81" s="12">
        <v>1308</v>
      </c>
      <c r="H81" s="13">
        <v>67.17</v>
      </c>
      <c r="I81" s="14">
        <f t="shared" si="13"/>
        <v>87858.36</v>
      </c>
      <c r="J81" s="14">
        <f t="shared" si="14"/>
        <v>-5102.0400000000081</v>
      </c>
      <c r="K81" s="15">
        <f t="shared" si="15"/>
        <v>-5.4884015129022766E-2</v>
      </c>
      <c r="L81" s="9">
        <v>5</v>
      </c>
      <c r="M81" s="16" t="s">
        <v>20</v>
      </c>
      <c r="N81" s="14">
        <f t="shared" si="16"/>
        <v>439564.13</v>
      </c>
      <c r="O81" s="15">
        <f t="shared" si="17"/>
        <v>0.3689818253898981</v>
      </c>
      <c r="P81" s="17"/>
    </row>
    <row r="82" spans="1:16">
      <c r="A82" s="4" t="s">
        <v>35</v>
      </c>
      <c r="B82" s="4" t="s">
        <v>27</v>
      </c>
      <c r="C82" s="4" t="s">
        <v>23</v>
      </c>
      <c r="D82" s="5">
        <v>590</v>
      </c>
      <c r="E82" s="6">
        <v>222.2</v>
      </c>
      <c r="F82" s="7">
        <f t="shared" si="12"/>
        <v>131098</v>
      </c>
      <c r="G82" s="5">
        <v>648</v>
      </c>
      <c r="H82" s="6">
        <v>224.09</v>
      </c>
      <c r="I82" s="7">
        <f t="shared" si="13"/>
        <v>145210.32</v>
      </c>
      <c r="J82" s="7">
        <f t="shared" si="14"/>
        <v>14112.320000000007</v>
      </c>
      <c r="K82" s="8">
        <f t="shared" si="15"/>
        <v>0.10764710369342025</v>
      </c>
      <c r="L82" s="9">
        <v>5</v>
      </c>
      <c r="M82" s="10" t="s">
        <v>22</v>
      </c>
      <c r="N82" s="7">
        <f t="shared" si="16"/>
        <v>600486.24</v>
      </c>
      <c r="O82" s="8">
        <f t="shared" si="17"/>
        <v>0.35739805634091354</v>
      </c>
      <c r="P82" s="11"/>
    </row>
    <row r="83" spans="1:16">
      <c r="A83" s="1" t="s">
        <v>35</v>
      </c>
      <c r="B83" s="1" t="s">
        <v>27</v>
      </c>
      <c r="C83" s="1" t="s">
        <v>24</v>
      </c>
      <c r="D83" s="12">
        <v>944</v>
      </c>
      <c r="E83" s="13">
        <v>95.95</v>
      </c>
      <c r="F83" s="14">
        <f t="shared" si="12"/>
        <v>90576.8</v>
      </c>
      <c r="G83" s="12">
        <v>867</v>
      </c>
      <c r="H83" s="13">
        <v>94.42</v>
      </c>
      <c r="I83" s="14">
        <f t="shared" si="13"/>
        <v>81862.14</v>
      </c>
      <c r="J83" s="14">
        <f t="shared" si="14"/>
        <v>-8714.6600000000035</v>
      </c>
      <c r="K83" s="15">
        <f t="shared" si="15"/>
        <v>-9.621293752925697E-2</v>
      </c>
      <c r="L83" s="9">
        <v>5</v>
      </c>
      <c r="M83" s="16" t="s">
        <v>22</v>
      </c>
      <c r="N83" s="14">
        <f t="shared" si="16"/>
        <v>398917.14</v>
      </c>
      <c r="O83" s="15">
        <f t="shared" si="17"/>
        <v>0.34367275502726674</v>
      </c>
      <c r="P83" s="17"/>
    </row>
    <row r="84" spans="1:16">
      <c r="A84" s="4" t="s">
        <v>36</v>
      </c>
      <c r="B84" s="4" t="s">
        <v>18</v>
      </c>
      <c r="C84" s="4" t="s">
        <v>19</v>
      </c>
      <c r="D84" s="5">
        <v>2310</v>
      </c>
      <c r="E84" s="6">
        <v>45.56</v>
      </c>
      <c r="F84" s="7">
        <f t="shared" si="12"/>
        <v>105243.6</v>
      </c>
      <c r="G84" s="5">
        <v>2363</v>
      </c>
      <c r="H84" s="6">
        <v>45.37</v>
      </c>
      <c r="I84" s="7">
        <f t="shared" si="13"/>
        <v>107209.31</v>
      </c>
      <c r="J84" s="7">
        <f t="shared" si="14"/>
        <v>1965.7099999999919</v>
      </c>
      <c r="K84" s="8">
        <f t="shared" si="15"/>
        <v>1.8677715319506287E-2</v>
      </c>
      <c r="L84" s="9">
        <v>6</v>
      </c>
      <c r="M84" s="10" t="s">
        <v>20</v>
      </c>
      <c r="N84" s="7">
        <f t="shared" si="16"/>
        <v>571773.73</v>
      </c>
      <c r="O84" s="8">
        <f t="shared" si="17"/>
        <v>0.44622301299812617</v>
      </c>
      <c r="P84" s="11"/>
    </row>
    <row r="85" spans="1:16">
      <c r="A85" s="1" t="s">
        <v>36</v>
      </c>
      <c r="B85" s="1" t="s">
        <v>18</v>
      </c>
      <c r="C85" s="1" t="s">
        <v>21</v>
      </c>
      <c r="D85" s="12">
        <v>1386</v>
      </c>
      <c r="E85" s="13">
        <v>65.81</v>
      </c>
      <c r="F85" s="14">
        <f t="shared" si="12"/>
        <v>91212.66</v>
      </c>
      <c r="G85" s="12">
        <v>1447</v>
      </c>
      <c r="H85" s="13">
        <v>65.53</v>
      </c>
      <c r="I85" s="14">
        <f t="shared" si="13"/>
        <v>94821.91</v>
      </c>
      <c r="J85" s="14">
        <f t="shared" si="14"/>
        <v>3609.25</v>
      </c>
      <c r="K85" s="15">
        <f t="shared" si="15"/>
        <v>3.956961676153288E-2</v>
      </c>
      <c r="L85" s="9">
        <v>6</v>
      </c>
      <c r="M85" s="16" t="s">
        <v>20</v>
      </c>
      <c r="N85" s="14">
        <f t="shared" si="16"/>
        <v>491573.86</v>
      </c>
      <c r="O85" s="15">
        <f t="shared" si="17"/>
        <v>0.4426505856976673</v>
      </c>
      <c r="P85" s="17"/>
    </row>
    <row r="86" spans="1:16">
      <c r="A86" s="4" t="s">
        <v>36</v>
      </c>
      <c r="B86" s="4" t="s">
        <v>18</v>
      </c>
      <c r="C86" s="4" t="s">
        <v>23</v>
      </c>
      <c r="D86" s="5">
        <v>578</v>
      </c>
      <c r="E86" s="6">
        <v>222.75</v>
      </c>
      <c r="F86" s="7">
        <f t="shared" si="12"/>
        <v>128749.5</v>
      </c>
      <c r="G86" s="5">
        <v>541</v>
      </c>
      <c r="H86" s="6">
        <v>225.48</v>
      </c>
      <c r="I86" s="7">
        <f t="shared" si="13"/>
        <v>121984.68</v>
      </c>
      <c r="J86" s="7">
        <f t="shared" si="14"/>
        <v>-6764.820000000007</v>
      </c>
      <c r="K86" s="8">
        <f t="shared" si="15"/>
        <v>-5.2542495310661456E-2</v>
      </c>
      <c r="L86" s="9">
        <v>6</v>
      </c>
      <c r="M86" s="10" t="s">
        <v>22</v>
      </c>
      <c r="N86" s="7">
        <f t="shared" si="16"/>
        <v>691072.77</v>
      </c>
      <c r="O86" s="8">
        <f t="shared" si="17"/>
        <v>0.44122472490683701</v>
      </c>
      <c r="P86" s="11"/>
    </row>
    <row r="87" spans="1:16" ht="24">
      <c r="A87" s="1" t="s">
        <v>36</v>
      </c>
      <c r="B87" s="1" t="s">
        <v>18</v>
      </c>
      <c r="C87" s="1" t="s">
        <v>24</v>
      </c>
      <c r="D87" s="12">
        <v>924</v>
      </c>
      <c r="E87" s="13">
        <v>96.19</v>
      </c>
      <c r="F87" s="14">
        <f t="shared" si="12"/>
        <v>88879.56</v>
      </c>
      <c r="G87" s="12">
        <v>1013</v>
      </c>
      <c r="H87" s="13">
        <v>98.77</v>
      </c>
      <c r="I87" s="14">
        <f t="shared" si="13"/>
        <v>100054.01</v>
      </c>
      <c r="J87" s="14">
        <f t="shared" si="14"/>
        <v>11174.449999999997</v>
      </c>
      <c r="K87" s="15">
        <f t="shared" si="15"/>
        <v>0.12572575741824102</v>
      </c>
      <c r="L87" s="9">
        <v>6</v>
      </c>
      <c r="M87" s="16" t="s">
        <v>20</v>
      </c>
      <c r="N87" s="14">
        <f t="shared" si="16"/>
        <v>470290.20999999996</v>
      </c>
      <c r="O87" s="15">
        <f t="shared" si="17"/>
        <v>0.43462786374710427</v>
      </c>
      <c r="P87" s="17" t="s">
        <v>30</v>
      </c>
    </row>
    <row r="88" spans="1:16" ht="24">
      <c r="A88" s="4" t="s">
        <v>36</v>
      </c>
      <c r="B88" s="4" t="s">
        <v>25</v>
      </c>
      <c r="C88" s="4" t="s">
        <v>19</v>
      </c>
      <c r="D88" s="5">
        <v>1848</v>
      </c>
      <c r="E88" s="6">
        <v>45.56</v>
      </c>
      <c r="F88" s="7">
        <f t="shared" si="12"/>
        <v>84194.880000000005</v>
      </c>
      <c r="G88" s="5">
        <v>2051</v>
      </c>
      <c r="H88" s="6">
        <v>46.92</v>
      </c>
      <c r="I88" s="7">
        <f t="shared" si="13"/>
        <v>96232.92</v>
      </c>
      <c r="J88" s="7">
        <f t="shared" si="14"/>
        <v>12038.039999999994</v>
      </c>
      <c r="K88" s="8">
        <f t="shared" si="15"/>
        <v>0.14297829036634999</v>
      </c>
      <c r="L88" s="9">
        <v>6</v>
      </c>
      <c r="M88" s="10" t="s">
        <v>20</v>
      </c>
      <c r="N88" s="7">
        <f t="shared" si="16"/>
        <v>467725.48000000004</v>
      </c>
      <c r="O88" s="8">
        <f t="shared" si="17"/>
        <v>0.45627712198763276</v>
      </c>
      <c r="P88" s="11" t="s">
        <v>32</v>
      </c>
    </row>
    <row r="89" spans="1:16">
      <c r="A89" s="1" t="s">
        <v>36</v>
      </c>
      <c r="B89" s="1" t="s">
        <v>25</v>
      </c>
      <c r="C89" s="1" t="s">
        <v>21</v>
      </c>
      <c r="D89" s="12">
        <v>1109</v>
      </c>
      <c r="E89" s="13">
        <v>65.81</v>
      </c>
      <c r="F89" s="14">
        <f t="shared" si="12"/>
        <v>72983.290000000008</v>
      </c>
      <c r="G89" s="12">
        <v>1121</v>
      </c>
      <c r="H89" s="13">
        <v>64.930000000000007</v>
      </c>
      <c r="I89" s="14">
        <f t="shared" si="13"/>
        <v>72786.530000000013</v>
      </c>
      <c r="J89" s="14">
        <f t="shared" si="14"/>
        <v>-196.75999999999476</v>
      </c>
      <c r="K89" s="15">
        <f t="shared" si="15"/>
        <v>-2.6959595819809538E-3</v>
      </c>
      <c r="L89" s="9">
        <v>6</v>
      </c>
      <c r="M89" s="16" t="s">
        <v>20</v>
      </c>
      <c r="N89" s="14">
        <f t="shared" si="16"/>
        <v>392187.75</v>
      </c>
      <c r="O89" s="15">
        <f t="shared" si="17"/>
        <v>0.4414446270785099</v>
      </c>
      <c r="P89" s="17"/>
    </row>
    <row r="90" spans="1:16">
      <c r="A90" s="4" t="s">
        <v>36</v>
      </c>
      <c r="B90" s="4" t="s">
        <v>25</v>
      </c>
      <c r="C90" s="4" t="s">
        <v>23</v>
      </c>
      <c r="D90" s="5">
        <v>462</v>
      </c>
      <c r="E90" s="6">
        <v>222.75</v>
      </c>
      <c r="F90" s="7">
        <f t="shared" si="12"/>
        <v>102910.5</v>
      </c>
      <c r="G90" s="5">
        <v>427</v>
      </c>
      <c r="H90" s="6">
        <v>221.02</v>
      </c>
      <c r="I90" s="7">
        <f t="shared" si="13"/>
        <v>94375.540000000008</v>
      </c>
      <c r="J90" s="7">
        <f t="shared" si="14"/>
        <v>-8534.9599999999919</v>
      </c>
      <c r="K90" s="8">
        <f t="shared" si="15"/>
        <v>-8.2935754854946697E-2</v>
      </c>
      <c r="L90" s="9">
        <v>6</v>
      </c>
      <c r="M90" s="10" t="s">
        <v>20</v>
      </c>
      <c r="N90" s="7">
        <f t="shared" si="16"/>
        <v>555712.69999999995</v>
      </c>
      <c r="O90" s="8">
        <f t="shared" si="17"/>
        <v>0.44353413522557467</v>
      </c>
      <c r="P90" s="11"/>
    </row>
    <row r="91" spans="1:16">
      <c r="A91" s="1" t="s">
        <v>36</v>
      </c>
      <c r="B91" s="1" t="s">
        <v>25</v>
      </c>
      <c r="C91" s="1" t="s">
        <v>24</v>
      </c>
      <c r="D91" s="12">
        <v>739</v>
      </c>
      <c r="E91" s="13">
        <v>96.19</v>
      </c>
      <c r="F91" s="14">
        <f t="shared" si="12"/>
        <v>71084.41</v>
      </c>
      <c r="G91" s="12">
        <v>737</v>
      </c>
      <c r="H91" s="13">
        <v>96.88</v>
      </c>
      <c r="I91" s="14">
        <f t="shared" si="13"/>
        <v>71400.56</v>
      </c>
      <c r="J91" s="14">
        <f t="shared" si="14"/>
        <v>316.14999999999418</v>
      </c>
      <c r="K91" s="15">
        <f t="shared" si="15"/>
        <v>4.4475293527792403E-3</v>
      </c>
      <c r="L91" s="9">
        <v>6</v>
      </c>
      <c r="M91" s="16" t="s">
        <v>20</v>
      </c>
      <c r="N91" s="14">
        <f t="shared" si="16"/>
        <v>382548.09</v>
      </c>
      <c r="O91" s="15">
        <f t="shared" si="17"/>
        <v>0.44197325481763355</v>
      </c>
      <c r="P91" s="17"/>
    </row>
    <row r="92" spans="1:16" ht="24">
      <c r="A92" s="4" t="s">
        <v>36</v>
      </c>
      <c r="B92" s="4" t="s">
        <v>26</v>
      </c>
      <c r="C92" s="4" t="s">
        <v>19</v>
      </c>
      <c r="D92" s="5">
        <v>2100</v>
      </c>
      <c r="E92" s="6">
        <v>45.56</v>
      </c>
      <c r="F92" s="7">
        <f t="shared" si="12"/>
        <v>95676</v>
      </c>
      <c r="G92" s="5">
        <v>2324</v>
      </c>
      <c r="H92" s="6">
        <v>46.49</v>
      </c>
      <c r="I92" s="7">
        <f t="shared" si="13"/>
        <v>108042.76000000001</v>
      </c>
      <c r="J92" s="7">
        <f t="shared" si="14"/>
        <v>12366.760000000009</v>
      </c>
      <c r="K92" s="8">
        <f t="shared" si="15"/>
        <v>0.1292566578870355</v>
      </c>
      <c r="L92" s="9">
        <v>6</v>
      </c>
      <c r="M92" s="10" t="s">
        <v>22</v>
      </c>
      <c r="N92" s="7">
        <f t="shared" si="16"/>
        <v>541976.02</v>
      </c>
      <c r="O92" s="8">
        <f t="shared" si="17"/>
        <v>0.46526514934298563</v>
      </c>
      <c r="P92" s="11" t="s">
        <v>30</v>
      </c>
    </row>
    <row r="93" spans="1:16">
      <c r="A93" s="1" t="s">
        <v>36</v>
      </c>
      <c r="B93" s="1" t="s">
        <v>26</v>
      </c>
      <c r="C93" s="1" t="s">
        <v>21</v>
      </c>
      <c r="D93" s="12">
        <v>1260</v>
      </c>
      <c r="E93" s="13">
        <v>65.81</v>
      </c>
      <c r="F93" s="14">
        <f t="shared" si="12"/>
        <v>82920.600000000006</v>
      </c>
      <c r="G93" s="12">
        <v>1353</v>
      </c>
      <c r="H93" s="13">
        <v>65.48</v>
      </c>
      <c r="I93" s="14">
        <f t="shared" si="13"/>
        <v>88594.44</v>
      </c>
      <c r="J93" s="14">
        <f t="shared" si="14"/>
        <v>5673.8399999999965</v>
      </c>
      <c r="K93" s="15">
        <f t="shared" si="15"/>
        <v>6.8424975217255976E-2</v>
      </c>
      <c r="L93" s="9">
        <v>6</v>
      </c>
      <c r="M93" s="16" t="s">
        <v>22</v>
      </c>
      <c r="N93" s="14">
        <f t="shared" si="16"/>
        <v>435625.27</v>
      </c>
      <c r="O93" s="15">
        <f t="shared" si="17"/>
        <v>0.43149715398768601</v>
      </c>
      <c r="P93" s="17"/>
    </row>
    <row r="94" spans="1:16">
      <c r="A94" s="4" t="s">
        <v>36</v>
      </c>
      <c r="B94" s="4" t="s">
        <v>26</v>
      </c>
      <c r="C94" s="4" t="s">
        <v>23</v>
      </c>
      <c r="D94" s="5">
        <v>525</v>
      </c>
      <c r="E94" s="6">
        <v>222.75</v>
      </c>
      <c r="F94" s="7">
        <f t="shared" si="12"/>
        <v>116943.75</v>
      </c>
      <c r="G94" s="5">
        <v>576</v>
      </c>
      <c r="H94" s="6">
        <v>219.79</v>
      </c>
      <c r="I94" s="7">
        <f t="shared" si="13"/>
        <v>126599.03999999999</v>
      </c>
      <c r="J94" s="7">
        <f t="shared" si="14"/>
        <v>9655.2899999999936</v>
      </c>
      <c r="K94" s="8">
        <f t="shared" si="15"/>
        <v>8.2563540163540103E-2</v>
      </c>
      <c r="L94" s="9">
        <v>6</v>
      </c>
      <c r="M94" s="10" t="s">
        <v>20</v>
      </c>
      <c r="N94" s="7">
        <f t="shared" si="16"/>
        <v>636880.67000000004</v>
      </c>
      <c r="O94" s="8">
        <f t="shared" si="17"/>
        <v>0.44731865450556058</v>
      </c>
      <c r="P94" s="11"/>
    </row>
    <row r="95" spans="1:16">
      <c r="A95" s="1" t="s">
        <v>36</v>
      </c>
      <c r="B95" s="1" t="s">
        <v>26</v>
      </c>
      <c r="C95" s="1" t="s">
        <v>24</v>
      </c>
      <c r="D95" s="12">
        <v>840</v>
      </c>
      <c r="E95" s="13">
        <v>96.19</v>
      </c>
      <c r="F95" s="14">
        <f t="shared" si="12"/>
        <v>80799.599999999991</v>
      </c>
      <c r="G95" s="12">
        <v>782</v>
      </c>
      <c r="H95" s="13">
        <v>96.93</v>
      </c>
      <c r="I95" s="14">
        <f t="shared" si="13"/>
        <v>75799.260000000009</v>
      </c>
      <c r="J95" s="14">
        <f t="shared" si="14"/>
        <v>-5000.339999999982</v>
      </c>
      <c r="K95" s="15">
        <f t="shared" si="15"/>
        <v>-6.1885702404467134E-2</v>
      </c>
      <c r="L95" s="9">
        <v>6</v>
      </c>
      <c r="M95" s="16" t="s">
        <v>20</v>
      </c>
      <c r="N95" s="14">
        <f t="shared" si="16"/>
        <v>440737.58999999997</v>
      </c>
      <c r="O95" s="15">
        <f t="shared" si="17"/>
        <v>0.44804797663054213</v>
      </c>
      <c r="P95" s="17"/>
    </row>
    <row r="96" spans="1:16">
      <c r="A96" s="4" t="s">
        <v>36</v>
      </c>
      <c r="B96" s="4" t="s">
        <v>27</v>
      </c>
      <c r="C96" s="4" t="s">
        <v>19</v>
      </c>
      <c r="D96" s="5">
        <v>2478</v>
      </c>
      <c r="E96" s="6">
        <v>45.56</v>
      </c>
      <c r="F96" s="7">
        <f t="shared" si="12"/>
        <v>112897.68000000001</v>
      </c>
      <c r="G96" s="5">
        <v>2555</v>
      </c>
      <c r="H96" s="6">
        <v>46.28</v>
      </c>
      <c r="I96" s="7">
        <f t="shared" si="13"/>
        <v>118245.40000000001</v>
      </c>
      <c r="J96" s="7">
        <f t="shared" si="14"/>
        <v>5347.7200000000012</v>
      </c>
      <c r="K96" s="8">
        <f t="shared" si="15"/>
        <v>4.7367846708630333E-2</v>
      </c>
      <c r="L96" s="9">
        <v>6</v>
      </c>
      <c r="M96" s="10" t="s">
        <v>20</v>
      </c>
      <c r="N96" s="7">
        <f t="shared" si="16"/>
        <v>618253.29999999993</v>
      </c>
      <c r="O96" s="8">
        <f t="shared" si="17"/>
        <v>0.44978482757906213</v>
      </c>
      <c r="P96" s="11"/>
    </row>
    <row r="97" spans="1:16">
      <c r="A97" s="1" t="s">
        <v>36</v>
      </c>
      <c r="B97" s="1" t="s">
        <v>27</v>
      </c>
      <c r="C97" s="1" t="s">
        <v>21</v>
      </c>
      <c r="D97" s="12">
        <v>1487</v>
      </c>
      <c r="E97" s="13">
        <v>65.81</v>
      </c>
      <c r="F97" s="14">
        <f t="shared" si="12"/>
        <v>97859.47</v>
      </c>
      <c r="G97" s="12">
        <v>1542</v>
      </c>
      <c r="H97" s="13">
        <v>65.36</v>
      </c>
      <c r="I97" s="14">
        <f t="shared" si="13"/>
        <v>100785.12</v>
      </c>
      <c r="J97" s="14">
        <f t="shared" si="14"/>
        <v>2925.6499999999942</v>
      </c>
      <c r="K97" s="15">
        <f t="shared" si="15"/>
        <v>2.9896442316722071E-2</v>
      </c>
      <c r="L97" s="9">
        <v>6</v>
      </c>
      <c r="M97" s="16" t="s">
        <v>22</v>
      </c>
      <c r="N97" s="14">
        <f t="shared" si="16"/>
        <v>540349.25</v>
      </c>
      <c r="O97" s="15">
        <f t="shared" si="17"/>
        <v>0.45358353652074018</v>
      </c>
      <c r="P97" s="17"/>
    </row>
    <row r="98" spans="1:16">
      <c r="A98" s="4" t="s">
        <v>36</v>
      </c>
      <c r="B98" s="4" t="s">
        <v>27</v>
      </c>
      <c r="C98" s="4" t="s">
        <v>23</v>
      </c>
      <c r="D98" s="5">
        <v>620</v>
      </c>
      <c r="E98" s="6">
        <v>222.75</v>
      </c>
      <c r="F98" s="7">
        <f t="shared" si="12"/>
        <v>138105</v>
      </c>
      <c r="G98" s="5">
        <v>676</v>
      </c>
      <c r="H98" s="6">
        <v>227.72</v>
      </c>
      <c r="I98" s="7">
        <f t="shared" si="13"/>
        <v>153938.72</v>
      </c>
      <c r="J98" s="7">
        <f t="shared" si="14"/>
        <v>15833.720000000001</v>
      </c>
      <c r="K98" s="8">
        <f t="shared" si="15"/>
        <v>0.11464986785416893</v>
      </c>
      <c r="L98" s="9">
        <v>6</v>
      </c>
      <c r="M98" s="10" t="s">
        <v>20</v>
      </c>
      <c r="N98" s="7">
        <f t="shared" si="16"/>
        <v>754424.96</v>
      </c>
      <c r="O98" s="8">
        <f t="shared" si="17"/>
        <v>0.44901947188510338</v>
      </c>
      <c r="P98" s="11"/>
    </row>
    <row r="99" spans="1:16">
      <c r="A99" s="1" t="s">
        <v>36</v>
      </c>
      <c r="B99" s="1" t="s">
        <v>27</v>
      </c>
      <c r="C99" s="1" t="s">
        <v>24</v>
      </c>
      <c r="D99" s="12">
        <v>991</v>
      </c>
      <c r="E99" s="13">
        <v>96.19</v>
      </c>
      <c r="F99" s="14">
        <f t="shared" si="12"/>
        <v>95324.29</v>
      </c>
      <c r="G99" s="12">
        <v>986</v>
      </c>
      <c r="H99" s="13">
        <v>95.6</v>
      </c>
      <c r="I99" s="14">
        <f t="shared" si="13"/>
        <v>94261.599999999991</v>
      </c>
      <c r="J99" s="14">
        <f t="shared" si="14"/>
        <v>-1062.6900000000023</v>
      </c>
      <c r="K99" s="15">
        <f t="shared" si="15"/>
        <v>-1.1148155417680031E-2</v>
      </c>
      <c r="L99" s="9">
        <v>6</v>
      </c>
      <c r="M99" s="16" t="s">
        <v>20</v>
      </c>
      <c r="N99" s="14">
        <f t="shared" si="16"/>
        <v>493178.74</v>
      </c>
      <c r="O99" s="15">
        <f t="shared" si="17"/>
        <v>0.42488045586779266</v>
      </c>
      <c r="P99" s="17"/>
    </row>
    <row r="100" spans="1:16">
      <c r="A100" s="4" t="s">
        <v>37</v>
      </c>
      <c r="B100" s="4" t="s">
        <v>18</v>
      </c>
      <c r="C100" s="4" t="s">
        <v>19</v>
      </c>
      <c r="D100" s="5">
        <v>2244</v>
      </c>
      <c r="E100" s="6">
        <v>45.67</v>
      </c>
      <c r="F100" s="7">
        <f t="shared" ref="F100:F131" si="18">D100*E100</f>
        <v>102483.48000000001</v>
      </c>
      <c r="G100" s="5">
        <v>2388</v>
      </c>
      <c r="H100" s="6">
        <v>46.21</v>
      </c>
      <c r="I100" s="7">
        <f t="shared" ref="I100:I131" si="19">G100*H100</f>
        <v>110349.48</v>
      </c>
      <c r="J100" s="7">
        <f t="shared" ref="J100:J131" si="20">I100-F100</f>
        <v>7865.9999999999854</v>
      </c>
      <c r="K100" s="8">
        <f t="shared" ref="K100:K131" si="21">IFERROR(J100/F100,0)</f>
        <v>7.6753833886202771E-2</v>
      </c>
      <c r="L100" s="9">
        <v>7</v>
      </c>
      <c r="M100" s="10" t="s">
        <v>20</v>
      </c>
      <c r="N100" s="7">
        <f t="shared" ref="N100:N131" si="22">SUMIFS($I$4:$I$195,$B$4:$B$195,B100,$C$4:$C$195,C100,$L$4:$L$195,"&lt;="&amp;L100)</f>
        <v>682123.21</v>
      </c>
      <c r="O100" s="8">
        <f t="shared" ref="O100:O131" si="23">IFERROR(N100/SUMIFS($F$4:$F$195,$B$4:$B$195,B100,$C$4:$C$195,C100),0)</f>
        <v>0.53234183039880745</v>
      </c>
      <c r="P100" s="11"/>
    </row>
    <row r="101" spans="1:16">
      <c r="A101" s="1" t="s">
        <v>37</v>
      </c>
      <c r="B101" s="1" t="s">
        <v>18</v>
      </c>
      <c r="C101" s="1" t="s">
        <v>21</v>
      </c>
      <c r="D101" s="12">
        <v>1346</v>
      </c>
      <c r="E101" s="13">
        <v>65.97</v>
      </c>
      <c r="F101" s="14">
        <f t="shared" si="18"/>
        <v>88795.62</v>
      </c>
      <c r="G101" s="12">
        <v>1424</v>
      </c>
      <c r="H101" s="13">
        <v>66.47</v>
      </c>
      <c r="I101" s="14">
        <f t="shared" si="19"/>
        <v>94653.28</v>
      </c>
      <c r="J101" s="14">
        <f t="shared" si="20"/>
        <v>5857.6600000000035</v>
      </c>
      <c r="K101" s="15">
        <f t="shared" si="21"/>
        <v>6.596789346141177E-2</v>
      </c>
      <c r="L101" s="9">
        <v>7</v>
      </c>
      <c r="M101" s="16" t="s">
        <v>20</v>
      </c>
      <c r="N101" s="14">
        <f t="shared" si="22"/>
        <v>586227.14</v>
      </c>
      <c r="O101" s="15">
        <f t="shared" si="23"/>
        <v>0.52788361625426627</v>
      </c>
      <c r="P101" s="17"/>
    </row>
    <row r="102" spans="1:16">
      <c r="A102" s="4" t="s">
        <v>37</v>
      </c>
      <c r="B102" s="4" t="s">
        <v>18</v>
      </c>
      <c r="C102" s="4" t="s">
        <v>23</v>
      </c>
      <c r="D102" s="5">
        <v>561</v>
      </c>
      <c r="E102" s="6">
        <v>223.3</v>
      </c>
      <c r="F102" s="7">
        <f t="shared" si="18"/>
        <v>125271.3</v>
      </c>
      <c r="G102" s="5">
        <v>512</v>
      </c>
      <c r="H102" s="6">
        <v>219.67</v>
      </c>
      <c r="I102" s="7">
        <f t="shared" si="19"/>
        <v>112471.03999999999</v>
      </c>
      <c r="J102" s="7">
        <f t="shared" si="20"/>
        <v>-12800.260000000009</v>
      </c>
      <c r="K102" s="8">
        <f t="shared" si="21"/>
        <v>-0.10218030785982112</v>
      </c>
      <c r="L102" s="9">
        <v>7</v>
      </c>
      <c r="M102" s="10" t="s">
        <v>28</v>
      </c>
      <c r="N102" s="7">
        <f t="shared" si="22"/>
        <v>803543.81</v>
      </c>
      <c r="O102" s="8">
        <f t="shared" si="23"/>
        <v>0.51303337638066926</v>
      </c>
      <c r="P102" s="11"/>
    </row>
    <row r="103" spans="1:16">
      <c r="A103" s="1" t="s">
        <v>37</v>
      </c>
      <c r="B103" s="1" t="s">
        <v>18</v>
      </c>
      <c r="C103" s="1" t="s">
        <v>24</v>
      </c>
      <c r="D103" s="12">
        <v>898</v>
      </c>
      <c r="E103" s="13">
        <v>96.42</v>
      </c>
      <c r="F103" s="14">
        <f t="shared" si="18"/>
        <v>86585.16</v>
      </c>
      <c r="G103" s="12">
        <v>980</v>
      </c>
      <c r="H103" s="13">
        <v>97.12</v>
      </c>
      <c r="I103" s="14">
        <f t="shared" si="19"/>
        <v>95177.600000000006</v>
      </c>
      <c r="J103" s="14">
        <f t="shared" si="20"/>
        <v>8592.4400000000023</v>
      </c>
      <c r="K103" s="15">
        <f t="shared" si="21"/>
        <v>9.9236866918072361E-2</v>
      </c>
      <c r="L103" s="9">
        <v>7</v>
      </c>
      <c r="M103" s="16" t="s">
        <v>22</v>
      </c>
      <c r="N103" s="14">
        <f t="shared" si="22"/>
        <v>565467.80999999994</v>
      </c>
      <c r="O103" s="15">
        <f t="shared" si="23"/>
        <v>0.52258809784293281</v>
      </c>
      <c r="P103" s="17"/>
    </row>
    <row r="104" spans="1:16">
      <c r="A104" s="4" t="s">
        <v>37</v>
      </c>
      <c r="B104" s="4" t="s">
        <v>25</v>
      </c>
      <c r="C104" s="4" t="s">
        <v>19</v>
      </c>
      <c r="D104" s="5">
        <v>1795</v>
      </c>
      <c r="E104" s="6">
        <v>45.67</v>
      </c>
      <c r="F104" s="7">
        <f t="shared" si="18"/>
        <v>81977.650000000009</v>
      </c>
      <c r="G104" s="5">
        <v>1843</v>
      </c>
      <c r="H104" s="6">
        <v>45.09</v>
      </c>
      <c r="I104" s="7">
        <f t="shared" si="19"/>
        <v>83100.87000000001</v>
      </c>
      <c r="J104" s="7">
        <f t="shared" si="20"/>
        <v>1123.2200000000012</v>
      </c>
      <c r="K104" s="8">
        <f t="shared" si="21"/>
        <v>1.3701539382990376E-2</v>
      </c>
      <c r="L104" s="9">
        <v>7</v>
      </c>
      <c r="M104" s="10" t="s">
        <v>20</v>
      </c>
      <c r="N104" s="7">
        <f t="shared" si="22"/>
        <v>550826.35000000009</v>
      </c>
      <c r="O104" s="8">
        <f t="shared" si="23"/>
        <v>0.53734396016430952</v>
      </c>
      <c r="P104" s="11"/>
    </row>
    <row r="105" spans="1:16">
      <c r="A105" s="1" t="s">
        <v>37</v>
      </c>
      <c r="B105" s="1" t="s">
        <v>25</v>
      </c>
      <c r="C105" s="1" t="s">
        <v>21</v>
      </c>
      <c r="D105" s="12">
        <v>1077</v>
      </c>
      <c r="E105" s="13">
        <v>65.97</v>
      </c>
      <c r="F105" s="14">
        <f t="shared" si="18"/>
        <v>71049.69</v>
      </c>
      <c r="G105" s="12">
        <v>1046</v>
      </c>
      <c r="H105" s="13">
        <v>67.62</v>
      </c>
      <c r="I105" s="14">
        <f t="shared" si="19"/>
        <v>70730.52</v>
      </c>
      <c r="J105" s="14">
        <f t="shared" si="20"/>
        <v>-319.16999999999825</v>
      </c>
      <c r="K105" s="15">
        <f t="shared" si="21"/>
        <v>-4.4922081996416627E-3</v>
      </c>
      <c r="L105" s="9">
        <v>7</v>
      </c>
      <c r="M105" s="16" t="s">
        <v>22</v>
      </c>
      <c r="N105" s="14">
        <f t="shared" si="22"/>
        <v>462918.27</v>
      </c>
      <c r="O105" s="15">
        <f t="shared" si="23"/>
        <v>0.52105855694875469</v>
      </c>
      <c r="P105" s="17"/>
    </row>
    <row r="106" spans="1:16">
      <c r="A106" s="4" t="s">
        <v>37</v>
      </c>
      <c r="B106" s="4" t="s">
        <v>25</v>
      </c>
      <c r="C106" s="4" t="s">
        <v>23</v>
      </c>
      <c r="D106" s="5">
        <v>449</v>
      </c>
      <c r="E106" s="6">
        <v>223.3</v>
      </c>
      <c r="F106" s="7">
        <f t="shared" si="18"/>
        <v>100261.70000000001</v>
      </c>
      <c r="G106" s="5">
        <v>486</v>
      </c>
      <c r="H106" s="6">
        <v>228.87</v>
      </c>
      <c r="I106" s="7">
        <f t="shared" si="19"/>
        <v>111230.82</v>
      </c>
      <c r="J106" s="7">
        <f t="shared" si="20"/>
        <v>10969.119999999995</v>
      </c>
      <c r="K106" s="8">
        <f t="shared" si="21"/>
        <v>0.10940488740964889</v>
      </c>
      <c r="L106" s="9">
        <v>7</v>
      </c>
      <c r="M106" s="10" t="s">
        <v>20</v>
      </c>
      <c r="N106" s="7">
        <f t="shared" si="22"/>
        <v>666943.52</v>
      </c>
      <c r="O106" s="8">
        <f t="shared" si="23"/>
        <v>0.53231142168876255</v>
      </c>
      <c r="P106" s="11"/>
    </row>
    <row r="107" spans="1:16">
      <c r="A107" s="1" t="s">
        <v>37</v>
      </c>
      <c r="B107" s="1" t="s">
        <v>25</v>
      </c>
      <c r="C107" s="1" t="s">
        <v>24</v>
      </c>
      <c r="D107" s="12">
        <v>718</v>
      </c>
      <c r="E107" s="13">
        <v>96.42</v>
      </c>
      <c r="F107" s="14">
        <f t="shared" si="18"/>
        <v>69229.56</v>
      </c>
      <c r="G107" s="12">
        <v>689</v>
      </c>
      <c r="H107" s="13">
        <v>94.99</v>
      </c>
      <c r="I107" s="14">
        <f t="shared" si="19"/>
        <v>65448.109999999993</v>
      </c>
      <c r="J107" s="14">
        <f t="shared" si="20"/>
        <v>-3781.4500000000044</v>
      </c>
      <c r="K107" s="15">
        <f t="shared" si="21"/>
        <v>-5.4621898506938431E-2</v>
      </c>
      <c r="L107" s="9">
        <v>7</v>
      </c>
      <c r="M107" s="16" t="s">
        <v>22</v>
      </c>
      <c r="N107" s="14">
        <f t="shared" si="22"/>
        <v>447996.2</v>
      </c>
      <c r="O107" s="15">
        <f t="shared" si="23"/>
        <v>0.51758809894968116</v>
      </c>
      <c r="P107" s="17"/>
    </row>
    <row r="108" spans="1:16">
      <c r="A108" s="4" t="s">
        <v>37</v>
      </c>
      <c r="B108" s="4" t="s">
        <v>26</v>
      </c>
      <c r="C108" s="4" t="s">
        <v>19</v>
      </c>
      <c r="D108" s="5">
        <v>2040</v>
      </c>
      <c r="E108" s="6">
        <v>45.67</v>
      </c>
      <c r="F108" s="7">
        <f t="shared" si="18"/>
        <v>93166.8</v>
      </c>
      <c r="G108" s="5">
        <v>2217</v>
      </c>
      <c r="H108" s="6">
        <v>45.68</v>
      </c>
      <c r="I108" s="7">
        <f t="shared" si="19"/>
        <v>101272.56</v>
      </c>
      <c r="J108" s="7">
        <f t="shared" si="20"/>
        <v>8105.7599999999948</v>
      </c>
      <c r="K108" s="8">
        <f t="shared" si="21"/>
        <v>8.7002666185808625E-2</v>
      </c>
      <c r="L108" s="9">
        <v>7</v>
      </c>
      <c r="M108" s="10" t="s">
        <v>22</v>
      </c>
      <c r="N108" s="7">
        <f t="shared" si="22"/>
        <v>643248.58000000007</v>
      </c>
      <c r="O108" s="8">
        <f t="shared" si="23"/>
        <v>0.55220366878660698</v>
      </c>
      <c r="P108" s="11"/>
    </row>
    <row r="109" spans="1:16">
      <c r="A109" s="1" t="s">
        <v>37</v>
      </c>
      <c r="B109" s="1" t="s">
        <v>26</v>
      </c>
      <c r="C109" s="1" t="s">
        <v>21</v>
      </c>
      <c r="D109" s="12">
        <v>1224</v>
      </c>
      <c r="E109" s="13">
        <v>65.97</v>
      </c>
      <c r="F109" s="14">
        <f t="shared" si="18"/>
        <v>80747.28</v>
      </c>
      <c r="G109" s="12">
        <v>1152</v>
      </c>
      <c r="H109" s="13">
        <v>67.72</v>
      </c>
      <c r="I109" s="14">
        <f t="shared" si="19"/>
        <v>78013.440000000002</v>
      </c>
      <c r="J109" s="14">
        <f t="shared" si="20"/>
        <v>-2733.8399999999965</v>
      </c>
      <c r="K109" s="15">
        <f t="shared" si="21"/>
        <v>-3.3856744152868018E-2</v>
      </c>
      <c r="L109" s="9">
        <v>7</v>
      </c>
      <c r="M109" s="16" t="s">
        <v>28</v>
      </c>
      <c r="N109" s="14">
        <f t="shared" si="22"/>
        <v>513638.71</v>
      </c>
      <c r="O109" s="15">
        <f t="shared" si="23"/>
        <v>0.50877131517853957</v>
      </c>
      <c r="P109" s="17"/>
    </row>
    <row r="110" spans="1:16" ht="24">
      <c r="A110" s="4" t="s">
        <v>37</v>
      </c>
      <c r="B110" s="4" t="s">
        <v>26</v>
      </c>
      <c r="C110" s="4" t="s">
        <v>23</v>
      </c>
      <c r="D110" s="5">
        <v>510</v>
      </c>
      <c r="E110" s="6">
        <v>223.3</v>
      </c>
      <c r="F110" s="7">
        <f t="shared" si="18"/>
        <v>113883</v>
      </c>
      <c r="G110" s="5">
        <v>564</v>
      </c>
      <c r="H110" s="6">
        <v>227.89</v>
      </c>
      <c r="I110" s="7">
        <f t="shared" si="19"/>
        <v>128529.95999999999</v>
      </c>
      <c r="J110" s="7">
        <f t="shared" si="20"/>
        <v>14646.959999999992</v>
      </c>
      <c r="K110" s="8">
        <f t="shared" si="21"/>
        <v>0.12861410394878947</v>
      </c>
      <c r="L110" s="9">
        <v>7</v>
      </c>
      <c r="M110" s="10" t="s">
        <v>28</v>
      </c>
      <c r="N110" s="7">
        <f t="shared" si="22"/>
        <v>765410.63</v>
      </c>
      <c r="O110" s="8">
        <f t="shared" si="23"/>
        <v>0.53759278509089226</v>
      </c>
      <c r="P110" s="11" t="s">
        <v>32</v>
      </c>
    </row>
    <row r="111" spans="1:16">
      <c r="A111" s="1" t="s">
        <v>37</v>
      </c>
      <c r="B111" s="1" t="s">
        <v>26</v>
      </c>
      <c r="C111" s="1" t="s">
        <v>24</v>
      </c>
      <c r="D111" s="12">
        <v>816</v>
      </c>
      <c r="E111" s="13">
        <v>96.42</v>
      </c>
      <c r="F111" s="14">
        <f t="shared" si="18"/>
        <v>78678.720000000001</v>
      </c>
      <c r="G111" s="12">
        <v>772</v>
      </c>
      <c r="H111" s="13">
        <v>98.95</v>
      </c>
      <c r="I111" s="14">
        <f t="shared" si="19"/>
        <v>76389.400000000009</v>
      </c>
      <c r="J111" s="14">
        <f t="shared" si="20"/>
        <v>-2289.3199999999924</v>
      </c>
      <c r="K111" s="15">
        <f t="shared" si="21"/>
        <v>-2.909706716123486E-2</v>
      </c>
      <c r="L111" s="9">
        <v>7</v>
      </c>
      <c r="M111" s="16" t="s">
        <v>22</v>
      </c>
      <c r="N111" s="14">
        <f t="shared" si="22"/>
        <v>517126.99</v>
      </c>
      <c r="O111" s="15">
        <f t="shared" si="23"/>
        <v>0.52570442546219531</v>
      </c>
      <c r="P111" s="17"/>
    </row>
    <row r="112" spans="1:16">
      <c r="A112" s="4" t="s">
        <v>37</v>
      </c>
      <c r="B112" s="4" t="s">
        <v>27</v>
      </c>
      <c r="C112" s="4" t="s">
        <v>19</v>
      </c>
      <c r="D112" s="5">
        <v>2407</v>
      </c>
      <c r="E112" s="6">
        <v>45.67</v>
      </c>
      <c r="F112" s="7">
        <f t="shared" si="18"/>
        <v>109927.69</v>
      </c>
      <c r="G112" s="5">
        <v>2389</v>
      </c>
      <c r="H112" s="6">
        <v>46.29</v>
      </c>
      <c r="I112" s="7">
        <f t="shared" si="19"/>
        <v>110586.81</v>
      </c>
      <c r="J112" s="7">
        <f t="shared" si="20"/>
        <v>659.11999999999534</v>
      </c>
      <c r="K112" s="8">
        <f t="shared" si="21"/>
        <v>5.99594151391697E-3</v>
      </c>
      <c r="L112" s="9">
        <v>7</v>
      </c>
      <c r="M112" s="10" t="s">
        <v>22</v>
      </c>
      <c r="N112" s="7">
        <f t="shared" si="22"/>
        <v>728840.10999999987</v>
      </c>
      <c r="O112" s="8">
        <f t="shared" si="23"/>
        <v>0.53023772490830967</v>
      </c>
      <c r="P112" s="11"/>
    </row>
    <row r="113" spans="1:16">
      <c r="A113" s="1" t="s">
        <v>37</v>
      </c>
      <c r="B113" s="1" t="s">
        <v>27</v>
      </c>
      <c r="C113" s="1" t="s">
        <v>21</v>
      </c>
      <c r="D113" s="12">
        <v>1444</v>
      </c>
      <c r="E113" s="13">
        <v>65.97</v>
      </c>
      <c r="F113" s="14">
        <f t="shared" si="18"/>
        <v>95260.68</v>
      </c>
      <c r="G113" s="12">
        <v>1386</v>
      </c>
      <c r="H113" s="13">
        <v>65.180000000000007</v>
      </c>
      <c r="I113" s="14">
        <f t="shared" si="19"/>
        <v>90339.48000000001</v>
      </c>
      <c r="J113" s="14">
        <f t="shared" si="20"/>
        <v>-4921.1999999999825</v>
      </c>
      <c r="K113" s="15">
        <f t="shared" si="21"/>
        <v>-5.1660349264775168E-2</v>
      </c>
      <c r="L113" s="9">
        <v>7</v>
      </c>
      <c r="M113" s="16" t="s">
        <v>22</v>
      </c>
      <c r="N113" s="14">
        <f t="shared" si="22"/>
        <v>630688.73</v>
      </c>
      <c r="O113" s="15">
        <f t="shared" si="23"/>
        <v>0.52941689952780402</v>
      </c>
      <c r="P113" s="17"/>
    </row>
    <row r="114" spans="1:16">
      <c r="A114" s="4" t="s">
        <v>37</v>
      </c>
      <c r="B114" s="4" t="s">
        <v>27</v>
      </c>
      <c r="C114" s="4" t="s">
        <v>23</v>
      </c>
      <c r="D114" s="5">
        <v>602</v>
      </c>
      <c r="E114" s="6">
        <v>223.3</v>
      </c>
      <c r="F114" s="7">
        <f t="shared" si="18"/>
        <v>134426.6</v>
      </c>
      <c r="G114" s="5">
        <v>594</v>
      </c>
      <c r="H114" s="6">
        <v>219.27</v>
      </c>
      <c r="I114" s="7">
        <f t="shared" si="19"/>
        <v>130246.38</v>
      </c>
      <c r="J114" s="7">
        <f t="shared" si="20"/>
        <v>-4180.2200000000012</v>
      </c>
      <c r="K114" s="8">
        <f t="shared" si="21"/>
        <v>-3.109667283112123E-2</v>
      </c>
      <c r="L114" s="9">
        <v>7</v>
      </c>
      <c r="M114" s="10" t="s">
        <v>22</v>
      </c>
      <c r="N114" s="7">
        <f t="shared" si="22"/>
        <v>884671.34</v>
      </c>
      <c r="O114" s="8">
        <f t="shared" si="23"/>
        <v>0.52653965462474461</v>
      </c>
      <c r="P114" s="11"/>
    </row>
    <row r="115" spans="1:16">
      <c r="A115" s="1" t="s">
        <v>37</v>
      </c>
      <c r="B115" s="1" t="s">
        <v>27</v>
      </c>
      <c r="C115" s="1" t="s">
        <v>24</v>
      </c>
      <c r="D115" s="12">
        <v>963</v>
      </c>
      <c r="E115" s="13">
        <v>96.42</v>
      </c>
      <c r="F115" s="14">
        <f t="shared" si="18"/>
        <v>92852.46</v>
      </c>
      <c r="G115" s="12">
        <v>915</v>
      </c>
      <c r="H115" s="13">
        <v>98.92</v>
      </c>
      <c r="I115" s="14">
        <f t="shared" si="19"/>
        <v>90511.8</v>
      </c>
      <c r="J115" s="14">
        <f t="shared" si="20"/>
        <v>-2340.6600000000035</v>
      </c>
      <c r="K115" s="15">
        <f t="shared" si="21"/>
        <v>-2.5208378970250259E-2</v>
      </c>
      <c r="L115" s="9">
        <v>7</v>
      </c>
      <c r="M115" s="16" t="s">
        <v>20</v>
      </c>
      <c r="N115" s="14">
        <f t="shared" si="22"/>
        <v>583690.54</v>
      </c>
      <c r="O115" s="15">
        <f t="shared" si="23"/>
        <v>0.50285765100279478</v>
      </c>
      <c r="P115" s="17"/>
    </row>
    <row r="116" spans="1:16">
      <c r="A116" s="4" t="s">
        <v>38</v>
      </c>
      <c r="B116" s="4" t="s">
        <v>18</v>
      </c>
      <c r="C116" s="4" t="s">
        <v>19</v>
      </c>
      <c r="D116" s="5">
        <v>2332</v>
      </c>
      <c r="E116" s="6">
        <v>45.79</v>
      </c>
      <c r="F116" s="7">
        <f t="shared" si="18"/>
        <v>106782.28</v>
      </c>
      <c r="G116" s="5">
        <v>2505</v>
      </c>
      <c r="H116" s="6">
        <v>46.87</v>
      </c>
      <c r="I116" s="7">
        <f t="shared" si="19"/>
        <v>117409.34999999999</v>
      </c>
      <c r="J116" s="7">
        <f t="shared" si="20"/>
        <v>10627.069999999992</v>
      </c>
      <c r="K116" s="8">
        <f t="shared" si="21"/>
        <v>9.9520913020399948E-2</v>
      </c>
      <c r="L116" s="9">
        <v>8</v>
      </c>
      <c r="M116" s="10" t="s">
        <v>20</v>
      </c>
      <c r="N116" s="7">
        <f t="shared" si="22"/>
        <v>799532.55999999994</v>
      </c>
      <c r="O116" s="8">
        <f t="shared" si="23"/>
        <v>0.6239703036257106</v>
      </c>
      <c r="P116" s="11"/>
    </row>
    <row r="117" spans="1:16">
      <c r="A117" s="1" t="s">
        <v>38</v>
      </c>
      <c r="B117" s="1" t="s">
        <v>18</v>
      </c>
      <c r="C117" s="1" t="s">
        <v>21</v>
      </c>
      <c r="D117" s="12">
        <v>1399</v>
      </c>
      <c r="E117" s="13">
        <v>66.14</v>
      </c>
      <c r="F117" s="14">
        <f t="shared" si="18"/>
        <v>92529.86</v>
      </c>
      <c r="G117" s="12">
        <v>1458</v>
      </c>
      <c r="H117" s="13">
        <v>66.13</v>
      </c>
      <c r="I117" s="14">
        <f t="shared" si="19"/>
        <v>96417.54</v>
      </c>
      <c r="J117" s="14">
        <f t="shared" si="20"/>
        <v>3887.679999999993</v>
      </c>
      <c r="K117" s="15">
        <f t="shared" si="21"/>
        <v>4.201540994442219E-2</v>
      </c>
      <c r="L117" s="9">
        <v>8</v>
      </c>
      <c r="M117" s="16" t="s">
        <v>20</v>
      </c>
      <c r="N117" s="14">
        <f t="shared" si="22"/>
        <v>682644.68</v>
      </c>
      <c r="O117" s="15">
        <f t="shared" si="23"/>
        <v>0.61470532103842279</v>
      </c>
      <c r="P117" s="17"/>
    </row>
    <row r="118" spans="1:16">
      <c r="A118" s="4" t="s">
        <v>38</v>
      </c>
      <c r="B118" s="4" t="s">
        <v>18</v>
      </c>
      <c r="C118" s="4" t="s">
        <v>23</v>
      </c>
      <c r="D118" s="5">
        <v>583</v>
      </c>
      <c r="E118" s="6">
        <v>223.85</v>
      </c>
      <c r="F118" s="7">
        <f t="shared" si="18"/>
        <v>130504.55</v>
      </c>
      <c r="G118" s="5">
        <v>539</v>
      </c>
      <c r="H118" s="6">
        <v>228.03</v>
      </c>
      <c r="I118" s="7">
        <f t="shared" si="19"/>
        <v>122908.17</v>
      </c>
      <c r="J118" s="7">
        <f t="shared" si="20"/>
        <v>-7596.3800000000047</v>
      </c>
      <c r="K118" s="8">
        <f t="shared" si="21"/>
        <v>-5.820777896249598E-2</v>
      </c>
      <c r="L118" s="9">
        <v>8</v>
      </c>
      <c r="M118" s="10" t="s">
        <v>20</v>
      </c>
      <c r="N118" s="7">
        <f t="shared" si="22"/>
        <v>926451.9800000001</v>
      </c>
      <c r="O118" s="8">
        <f t="shared" si="23"/>
        <v>0.59150575418402684</v>
      </c>
      <c r="P118" s="11"/>
    </row>
    <row r="119" spans="1:16">
      <c r="A119" s="1" t="s">
        <v>38</v>
      </c>
      <c r="B119" s="1" t="s">
        <v>18</v>
      </c>
      <c r="C119" s="1" t="s">
        <v>24</v>
      </c>
      <c r="D119" s="12">
        <v>933</v>
      </c>
      <c r="E119" s="13">
        <v>96.66</v>
      </c>
      <c r="F119" s="14">
        <f t="shared" si="18"/>
        <v>90183.78</v>
      </c>
      <c r="G119" s="12">
        <v>944</v>
      </c>
      <c r="H119" s="13">
        <v>98.01</v>
      </c>
      <c r="I119" s="14">
        <f t="shared" si="19"/>
        <v>92521.44</v>
      </c>
      <c r="J119" s="14">
        <f t="shared" si="20"/>
        <v>2337.6600000000035</v>
      </c>
      <c r="K119" s="15">
        <f t="shared" si="21"/>
        <v>2.5921069176741134E-2</v>
      </c>
      <c r="L119" s="9">
        <v>8</v>
      </c>
      <c r="M119" s="16" t="s">
        <v>22</v>
      </c>
      <c r="N119" s="14">
        <f t="shared" si="22"/>
        <v>657989.25</v>
      </c>
      <c r="O119" s="15">
        <f t="shared" si="23"/>
        <v>0.60809358990496387</v>
      </c>
      <c r="P119" s="17"/>
    </row>
    <row r="120" spans="1:16">
      <c r="A120" s="4" t="s">
        <v>38</v>
      </c>
      <c r="B120" s="4" t="s">
        <v>25</v>
      </c>
      <c r="C120" s="4" t="s">
        <v>19</v>
      </c>
      <c r="D120" s="5">
        <v>1866</v>
      </c>
      <c r="E120" s="6">
        <v>45.79</v>
      </c>
      <c r="F120" s="7">
        <f t="shared" si="18"/>
        <v>85444.14</v>
      </c>
      <c r="G120" s="5">
        <v>1822</v>
      </c>
      <c r="H120" s="6">
        <v>44.94</v>
      </c>
      <c r="I120" s="7">
        <f t="shared" si="19"/>
        <v>81880.679999999993</v>
      </c>
      <c r="J120" s="7">
        <f t="shared" si="20"/>
        <v>-3563.4600000000064</v>
      </c>
      <c r="K120" s="8">
        <f t="shared" si="21"/>
        <v>-4.1705142096345127E-2</v>
      </c>
      <c r="L120" s="9">
        <v>8</v>
      </c>
      <c r="M120" s="10" t="s">
        <v>28</v>
      </c>
      <c r="N120" s="7">
        <f t="shared" si="22"/>
        <v>632707.03</v>
      </c>
      <c r="O120" s="8">
        <f t="shared" si="23"/>
        <v>0.61722047451796469</v>
      </c>
      <c r="P120" s="11"/>
    </row>
    <row r="121" spans="1:16">
      <c r="A121" s="1" t="s">
        <v>38</v>
      </c>
      <c r="B121" s="1" t="s">
        <v>25</v>
      </c>
      <c r="C121" s="1" t="s">
        <v>21</v>
      </c>
      <c r="D121" s="12">
        <v>1119</v>
      </c>
      <c r="E121" s="13">
        <v>66.14</v>
      </c>
      <c r="F121" s="14">
        <f t="shared" si="18"/>
        <v>74010.66</v>
      </c>
      <c r="G121" s="12">
        <v>1077</v>
      </c>
      <c r="H121" s="13">
        <v>66.739999999999995</v>
      </c>
      <c r="I121" s="14">
        <f t="shared" si="19"/>
        <v>71878.98</v>
      </c>
      <c r="J121" s="14">
        <f t="shared" si="20"/>
        <v>-2131.6800000000076</v>
      </c>
      <c r="K121" s="15">
        <f t="shared" si="21"/>
        <v>-2.8802337393018889E-2</v>
      </c>
      <c r="L121" s="9">
        <v>8</v>
      </c>
      <c r="M121" s="16" t="s">
        <v>28</v>
      </c>
      <c r="N121" s="14">
        <f t="shared" si="22"/>
        <v>534797.25</v>
      </c>
      <c r="O121" s="15">
        <f t="shared" si="23"/>
        <v>0.60196518781849417</v>
      </c>
      <c r="P121" s="17"/>
    </row>
    <row r="122" spans="1:16">
      <c r="A122" s="4" t="s">
        <v>38</v>
      </c>
      <c r="B122" s="4" t="s">
        <v>25</v>
      </c>
      <c r="C122" s="4" t="s">
        <v>23</v>
      </c>
      <c r="D122" s="5">
        <v>466</v>
      </c>
      <c r="E122" s="6">
        <v>223.85</v>
      </c>
      <c r="F122" s="7">
        <f t="shared" si="18"/>
        <v>104314.09999999999</v>
      </c>
      <c r="G122" s="5">
        <v>428</v>
      </c>
      <c r="H122" s="6">
        <v>226.05</v>
      </c>
      <c r="I122" s="7">
        <f t="shared" si="19"/>
        <v>96749.400000000009</v>
      </c>
      <c r="J122" s="7">
        <f t="shared" si="20"/>
        <v>-7564.6999999999825</v>
      </c>
      <c r="K122" s="8">
        <f t="shared" si="21"/>
        <v>-7.2518480243801975E-2</v>
      </c>
      <c r="L122" s="9">
        <v>8</v>
      </c>
      <c r="M122" s="10" t="s">
        <v>20</v>
      </c>
      <c r="N122" s="7">
        <f t="shared" si="22"/>
        <v>763692.92</v>
      </c>
      <c r="O122" s="8">
        <f t="shared" si="23"/>
        <v>0.60953057011310696</v>
      </c>
      <c r="P122" s="11"/>
    </row>
    <row r="123" spans="1:16">
      <c r="A123" s="1" t="s">
        <v>38</v>
      </c>
      <c r="B123" s="1" t="s">
        <v>25</v>
      </c>
      <c r="C123" s="1" t="s">
        <v>24</v>
      </c>
      <c r="D123" s="12">
        <v>746</v>
      </c>
      <c r="E123" s="13">
        <v>96.66</v>
      </c>
      <c r="F123" s="14">
        <f t="shared" si="18"/>
        <v>72108.36</v>
      </c>
      <c r="G123" s="12">
        <v>796</v>
      </c>
      <c r="H123" s="13">
        <v>96.84</v>
      </c>
      <c r="I123" s="14">
        <f t="shared" si="19"/>
        <v>77084.639999999999</v>
      </c>
      <c r="J123" s="14">
        <f t="shared" si="20"/>
        <v>4976.2799999999988</v>
      </c>
      <c r="K123" s="15">
        <f t="shared" si="21"/>
        <v>6.9011138236953373E-2</v>
      </c>
      <c r="L123" s="9">
        <v>8</v>
      </c>
      <c r="M123" s="16" t="s">
        <v>28</v>
      </c>
      <c r="N123" s="14">
        <f t="shared" si="22"/>
        <v>525080.84</v>
      </c>
      <c r="O123" s="15">
        <f t="shared" si="23"/>
        <v>0.60664709604791667</v>
      </c>
      <c r="P123" s="17"/>
    </row>
    <row r="124" spans="1:16">
      <c r="A124" s="4" t="s">
        <v>38</v>
      </c>
      <c r="B124" s="4" t="s">
        <v>26</v>
      </c>
      <c r="C124" s="4" t="s">
        <v>19</v>
      </c>
      <c r="D124" s="5">
        <v>2120</v>
      </c>
      <c r="E124" s="6">
        <v>45.79</v>
      </c>
      <c r="F124" s="7">
        <f t="shared" si="18"/>
        <v>97074.8</v>
      </c>
      <c r="G124" s="5">
        <v>1978</v>
      </c>
      <c r="H124" s="6">
        <v>46.93</v>
      </c>
      <c r="I124" s="7">
        <f t="shared" si="19"/>
        <v>92827.54</v>
      </c>
      <c r="J124" s="7">
        <f t="shared" si="20"/>
        <v>-4247.2600000000093</v>
      </c>
      <c r="K124" s="8">
        <f t="shared" si="21"/>
        <v>-4.3752446566977313E-2</v>
      </c>
      <c r="L124" s="9">
        <v>8</v>
      </c>
      <c r="M124" s="10" t="s">
        <v>20</v>
      </c>
      <c r="N124" s="7">
        <f t="shared" si="22"/>
        <v>736076.12000000011</v>
      </c>
      <c r="O124" s="8">
        <f t="shared" si="23"/>
        <v>0.63189246989120562</v>
      </c>
      <c r="P124" s="11"/>
    </row>
    <row r="125" spans="1:16">
      <c r="A125" s="1" t="s">
        <v>38</v>
      </c>
      <c r="B125" s="1" t="s">
        <v>26</v>
      </c>
      <c r="C125" s="1" t="s">
        <v>21</v>
      </c>
      <c r="D125" s="12">
        <v>1272</v>
      </c>
      <c r="E125" s="13">
        <v>66.14</v>
      </c>
      <c r="F125" s="14">
        <f t="shared" si="18"/>
        <v>84130.08</v>
      </c>
      <c r="G125" s="12">
        <v>1169</v>
      </c>
      <c r="H125" s="13">
        <v>66.260000000000005</v>
      </c>
      <c r="I125" s="14">
        <f t="shared" si="19"/>
        <v>77457.94</v>
      </c>
      <c r="J125" s="14">
        <f t="shared" si="20"/>
        <v>-6672.1399999999994</v>
      </c>
      <c r="K125" s="15">
        <f t="shared" si="21"/>
        <v>-7.930742488299071E-2</v>
      </c>
      <c r="L125" s="9">
        <v>8</v>
      </c>
      <c r="M125" s="16" t="s">
        <v>22</v>
      </c>
      <c r="N125" s="14">
        <f t="shared" si="22"/>
        <v>591096.65</v>
      </c>
      <c r="O125" s="15">
        <f t="shared" si="23"/>
        <v>0.58549524045438261</v>
      </c>
      <c r="P125" s="17"/>
    </row>
    <row r="126" spans="1:16">
      <c r="A126" s="4" t="s">
        <v>38</v>
      </c>
      <c r="B126" s="4" t="s">
        <v>26</v>
      </c>
      <c r="C126" s="4" t="s">
        <v>23</v>
      </c>
      <c r="D126" s="5">
        <v>530</v>
      </c>
      <c r="E126" s="6">
        <v>223.85</v>
      </c>
      <c r="F126" s="7">
        <f t="shared" si="18"/>
        <v>118640.5</v>
      </c>
      <c r="G126" s="5">
        <v>568</v>
      </c>
      <c r="H126" s="6">
        <v>227.06</v>
      </c>
      <c r="I126" s="7">
        <f t="shared" si="19"/>
        <v>128970.08</v>
      </c>
      <c r="J126" s="7">
        <f t="shared" si="20"/>
        <v>10329.580000000002</v>
      </c>
      <c r="K126" s="8">
        <f t="shared" si="21"/>
        <v>8.706622106279055E-2</v>
      </c>
      <c r="L126" s="9">
        <v>8</v>
      </c>
      <c r="M126" s="10" t="s">
        <v>28</v>
      </c>
      <c r="N126" s="7">
        <f t="shared" si="22"/>
        <v>894380.71</v>
      </c>
      <c r="O126" s="8">
        <f t="shared" si="23"/>
        <v>0.62817603777003928</v>
      </c>
      <c r="P126" s="11"/>
    </row>
    <row r="127" spans="1:16">
      <c r="A127" s="1" t="s">
        <v>38</v>
      </c>
      <c r="B127" s="1" t="s">
        <v>26</v>
      </c>
      <c r="C127" s="1" t="s">
        <v>24</v>
      </c>
      <c r="D127" s="12">
        <v>848</v>
      </c>
      <c r="E127" s="13">
        <v>96.66</v>
      </c>
      <c r="F127" s="14">
        <f t="shared" si="18"/>
        <v>81967.679999999993</v>
      </c>
      <c r="G127" s="12">
        <v>897</v>
      </c>
      <c r="H127" s="13">
        <v>95.68</v>
      </c>
      <c r="I127" s="14">
        <f t="shared" si="19"/>
        <v>85824.960000000006</v>
      </c>
      <c r="J127" s="14">
        <f t="shared" si="20"/>
        <v>3857.2800000000134</v>
      </c>
      <c r="K127" s="15">
        <f t="shared" si="21"/>
        <v>4.7058547954511018E-2</v>
      </c>
      <c r="L127" s="9">
        <v>8</v>
      </c>
      <c r="M127" s="16" t="s">
        <v>20</v>
      </c>
      <c r="N127" s="14">
        <f t="shared" si="22"/>
        <v>602951.94999999995</v>
      </c>
      <c r="O127" s="15">
        <f t="shared" si="23"/>
        <v>0.61295293919209337</v>
      </c>
      <c r="P127" s="17"/>
    </row>
    <row r="128" spans="1:16" ht="24">
      <c r="A128" s="4" t="s">
        <v>38</v>
      </c>
      <c r="B128" s="4" t="s">
        <v>27</v>
      </c>
      <c r="C128" s="4" t="s">
        <v>19</v>
      </c>
      <c r="D128" s="5">
        <v>2502</v>
      </c>
      <c r="E128" s="6">
        <v>45.79</v>
      </c>
      <c r="F128" s="7">
        <f t="shared" si="18"/>
        <v>114566.58</v>
      </c>
      <c r="G128" s="5">
        <v>2752</v>
      </c>
      <c r="H128" s="6">
        <v>46.98</v>
      </c>
      <c r="I128" s="7">
        <f t="shared" si="19"/>
        <v>129288.95999999999</v>
      </c>
      <c r="J128" s="7">
        <f t="shared" si="20"/>
        <v>14722.37999999999</v>
      </c>
      <c r="K128" s="8">
        <f t="shared" si="21"/>
        <v>0.12850501428950736</v>
      </c>
      <c r="L128" s="9">
        <v>8</v>
      </c>
      <c r="M128" s="10" t="s">
        <v>22</v>
      </c>
      <c r="N128" s="7">
        <f t="shared" si="22"/>
        <v>858129.06999999983</v>
      </c>
      <c r="O128" s="8">
        <f t="shared" si="23"/>
        <v>0.62429660430527567</v>
      </c>
      <c r="P128" s="11" t="s">
        <v>30</v>
      </c>
    </row>
    <row r="129" spans="1:16">
      <c r="A129" s="1" t="s">
        <v>38</v>
      </c>
      <c r="B129" s="1" t="s">
        <v>27</v>
      </c>
      <c r="C129" s="1" t="s">
        <v>21</v>
      </c>
      <c r="D129" s="12">
        <v>1501</v>
      </c>
      <c r="E129" s="13">
        <v>66.14</v>
      </c>
      <c r="F129" s="14">
        <f t="shared" si="18"/>
        <v>99276.14</v>
      </c>
      <c r="G129" s="12">
        <v>1620</v>
      </c>
      <c r="H129" s="13">
        <v>67.2</v>
      </c>
      <c r="I129" s="14">
        <f t="shared" si="19"/>
        <v>108864</v>
      </c>
      <c r="J129" s="14">
        <f t="shared" si="20"/>
        <v>9587.86</v>
      </c>
      <c r="K129" s="15">
        <f t="shared" si="21"/>
        <v>9.657768724690545E-2</v>
      </c>
      <c r="L129" s="9">
        <v>8</v>
      </c>
      <c r="M129" s="16" t="s">
        <v>20</v>
      </c>
      <c r="N129" s="14">
        <f t="shared" si="22"/>
        <v>739552.73</v>
      </c>
      <c r="O129" s="15">
        <f t="shared" si="23"/>
        <v>0.62080023747042878</v>
      </c>
      <c r="P129" s="17"/>
    </row>
    <row r="130" spans="1:16">
      <c r="A130" s="4" t="s">
        <v>38</v>
      </c>
      <c r="B130" s="4" t="s">
        <v>27</v>
      </c>
      <c r="C130" s="4" t="s">
        <v>23</v>
      </c>
      <c r="D130" s="5">
        <v>625</v>
      </c>
      <c r="E130" s="6">
        <v>223.85</v>
      </c>
      <c r="F130" s="7">
        <f t="shared" si="18"/>
        <v>139906.25</v>
      </c>
      <c r="G130" s="5">
        <v>607</v>
      </c>
      <c r="H130" s="6">
        <v>223.94</v>
      </c>
      <c r="I130" s="7">
        <f t="shared" si="19"/>
        <v>135931.57999999999</v>
      </c>
      <c r="J130" s="7">
        <f t="shared" si="20"/>
        <v>-3974.6700000000128</v>
      </c>
      <c r="K130" s="8">
        <f t="shared" si="21"/>
        <v>-2.8409524234978872E-2</v>
      </c>
      <c r="L130" s="9">
        <v>8</v>
      </c>
      <c r="M130" s="10" t="s">
        <v>20</v>
      </c>
      <c r="N130" s="7">
        <f t="shared" si="22"/>
        <v>1020602.9199999999</v>
      </c>
      <c r="O130" s="8">
        <f t="shared" si="23"/>
        <v>0.60744356091133889</v>
      </c>
      <c r="P130" s="11"/>
    </row>
    <row r="131" spans="1:16">
      <c r="A131" s="1" t="s">
        <v>38</v>
      </c>
      <c r="B131" s="1" t="s">
        <v>27</v>
      </c>
      <c r="C131" s="1" t="s">
        <v>24</v>
      </c>
      <c r="D131" s="12">
        <v>1001</v>
      </c>
      <c r="E131" s="13">
        <v>96.66</v>
      </c>
      <c r="F131" s="14">
        <f t="shared" si="18"/>
        <v>96756.66</v>
      </c>
      <c r="G131" s="12">
        <v>970</v>
      </c>
      <c r="H131" s="13">
        <v>95.34</v>
      </c>
      <c r="I131" s="14">
        <f t="shared" si="19"/>
        <v>92479.8</v>
      </c>
      <c r="J131" s="14">
        <f t="shared" si="20"/>
        <v>-4276.8600000000006</v>
      </c>
      <c r="K131" s="15">
        <f t="shared" si="21"/>
        <v>-4.4202228559770462E-2</v>
      </c>
      <c r="L131" s="9">
        <v>8</v>
      </c>
      <c r="M131" s="16" t="s">
        <v>20</v>
      </c>
      <c r="N131" s="14">
        <f t="shared" si="22"/>
        <v>676170.34000000008</v>
      </c>
      <c r="O131" s="15">
        <f t="shared" si="23"/>
        <v>0.58253030595657951</v>
      </c>
      <c r="P131" s="17"/>
    </row>
    <row r="132" spans="1:16">
      <c r="A132" s="4" t="s">
        <v>39</v>
      </c>
      <c r="B132" s="4" t="s">
        <v>18</v>
      </c>
      <c r="C132" s="4" t="s">
        <v>19</v>
      </c>
      <c r="D132" s="5">
        <v>2200</v>
      </c>
      <c r="E132" s="6">
        <v>45.9</v>
      </c>
      <c r="F132" s="7">
        <f t="shared" ref="F132:F163" si="24">D132*E132</f>
        <v>100980</v>
      </c>
      <c r="G132" s="5">
        <v>2416</v>
      </c>
      <c r="H132" s="6">
        <v>46.54</v>
      </c>
      <c r="I132" s="7">
        <f t="shared" ref="I132:I163" si="25">G132*H132</f>
        <v>112440.64</v>
      </c>
      <c r="J132" s="7">
        <f t="shared" ref="J132:J163" si="26">I132-F132</f>
        <v>11460.64</v>
      </c>
      <c r="K132" s="8">
        <f t="shared" ref="K132:K163" si="27">IFERROR(J132/F132,0)</f>
        <v>0.11349415725886314</v>
      </c>
      <c r="L132" s="9">
        <v>9</v>
      </c>
      <c r="M132" s="10" t="s">
        <v>28</v>
      </c>
      <c r="N132" s="7">
        <f t="shared" ref="N132:N163" si="28">SUMIFS($I$4:$I$195,$B$4:$B$195,B132,$C$4:$C$195,C132,$L$4:$L$195,"&lt;="&amp;L132)</f>
        <v>911973.2</v>
      </c>
      <c r="O132" s="8">
        <f t="shared" ref="O132:O163" si="29">IFERROR(N132/SUMIFS($F$4:$F$195,$B$4:$B$195,B132,$C$4:$C$195,C132),0)</f>
        <v>0.7117211017679016</v>
      </c>
      <c r="P132" s="11"/>
    </row>
    <row r="133" spans="1:16">
      <c r="A133" s="1" t="s">
        <v>39</v>
      </c>
      <c r="B133" s="1" t="s">
        <v>18</v>
      </c>
      <c r="C133" s="1" t="s">
        <v>21</v>
      </c>
      <c r="D133" s="12">
        <v>1320</v>
      </c>
      <c r="E133" s="13">
        <v>66.3</v>
      </c>
      <c r="F133" s="14">
        <f t="shared" si="24"/>
        <v>87516</v>
      </c>
      <c r="G133" s="12">
        <v>1364</v>
      </c>
      <c r="H133" s="13">
        <v>65.97</v>
      </c>
      <c r="I133" s="14">
        <f t="shared" si="25"/>
        <v>89983.08</v>
      </c>
      <c r="J133" s="14">
        <f t="shared" si="26"/>
        <v>2467.0800000000017</v>
      </c>
      <c r="K133" s="15">
        <f t="shared" si="27"/>
        <v>2.8190045248868797E-2</v>
      </c>
      <c r="L133" s="9">
        <v>9</v>
      </c>
      <c r="M133" s="16" t="s">
        <v>22</v>
      </c>
      <c r="N133" s="14">
        <f t="shared" si="28"/>
        <v>772627.76</v>
      </c>
      <c r="O133" s="15">
        <f t="shared" si="29"/>
        <v>0.69573294741562686</v>
      </c>
      <c r="P133" s="17"/>
    </row>
    <row r="134" spans="1:16">
      <c r="A134" s="4" t="s">
        <v>39</v>
      </c>
      <c r="B134" s="4" t="s">
        <v>18</v>
      </c>
      <c r="C134" s="4" t="s">
        <v>23</v>
      </c>
      <c r="D134" s="5">
        <v>550</v>
      </c>
      <c r="E134" s="6">
        <v>224.4</v>
      </c>
      <c r="F134" s="7">
        <f t="shared" si="24"/>
        <v>123420</v>
      </c>
      <c r="G134" s="5">
        <v>501</v>
      </c>
      <c r="H134" s="6">
        <v>223.13</v>
      </c>
      <c r="I134" s="7">
        <f t="shared" si="25"/>
        <v>111788.13</v>
      </c>
      <c r="J134" s="7">
        <f t="shared" si="26"/>
        <v>-11631.869999999995</v>
      </c>
      <c r="K134" s="8">
        <f t="shared" si="27"/>
        <v>-9.4246232377248385E-2</v>
      </c>
      <c r="L134" s="9">
        <v>9</v>
      </c>
      <c r="M134" s="10" t="s">
        <v>20</v>
      </c>
      <c r="N134" s="7">
        <f t="shared" si="28"/>
        <v>1038240.1100000001</v>
      </c>
      <c r="O134" s="8">
        <f t="shared" si="29"/>
        <v>0.66287839256348391</v>
      </c>
      <c r="P134" s="11"/>
    </row>
    <row r="135" spans="1:16">
      <c r="A135" s="1" t="s">
        <v>39</v>
      </c>
      <c r="B135" s="1" t="s">
        <v>18</v>
      </c>
      <c r="C135" s="1" t="s">
        <v>24</v>
      </c>
      <c r="D135" s="12">
        <v>880</v>
      </c>
      <c r="E135" s="13">
        <v>96.9</v>
      </c>
      <c r="F135" s="14">
        <f t="shared" si="24"/>
        <v>85272</v>
      </c>
      <c r="G135" s="12">
        <v>903</v>
      </c>
      <c r="H135" s="13">
        <v>98.13</v>
      </c>
      <c r="I135" s="14">
        <f t="shared" si="25"/>
        <v>88611.39</v>
      </c>
      <c r="J135" s="14">
        <f t="shared" si="26"/>
        <v>3339.3899999999994</v>
      </c>
      <c r="K135" s="15">
        <f t="shared" si="27"/>
        <v>3.9161623979735431E-2</v>
      </c>
      <c r="L135" s="9">
        <v>9</v>
      </c>
      <c r="M135" s="16" t="s">
        <v>22</v>
      </c>
      <c r="N135" s="14">
        <f t="shared" si="28"/>
        <v>746600.64</v>
      </c>
      <c r="O135" s="15">
        <f t="shared" si="29"/>
        <v>0.68998553305079624</v>
      </c>
      <c r="P135" s="17"/>
    </row>
    <row r="136" spans="1:16">
      <c r="A136" s="4" t="s">
        <v>39</v>
      </c>
      <c r="B136" s="4" t="s">
        <v>25</v>
      </c>
      <c r="C136" s="4" t="s">
        <v>19</v>
      </c>
      <c r="D136" s="5">
        <v>1760</v>
      </c>
      <c r="E136" s="6">
        <v>45.9</v>
      </c>
      <c r="F136" s="7">
        <f t="shared" si="24"/>
        <v>80784</v>
      </c>
      <c r="G136" s="5">
        <v>1757</v>
      </c>
      <c r="H136" s="6">
        <v>45.47</v>
      </c>
      <c r="I136" s="7">
        <f t="shared" si="25"/>
        <v>79890.789999999994</v>
      </c>
      <c r="J136" s="7">
        <f t="shared" si="26"/>
        <v>-893.2100000000064</v>
      </c>
      <c r="K136" s="8">
        <f t="shared" si="27"/>
        <v>-1.1056768667062865E-2</v>
      </c>
      <c r="L136" s="9">
        <v>9</v>
      </c>
      <c r="M136" s="10" t="s">
        <v>22</v>
      </c>
      <c r="N136" s="7">
        <f t="shared" si="28"/>
        <v>712597.82000000007</v>
      </c>
      <c r="O136" s="8">
        <f t="shared" si="29"/>
        <v>0.69515580473456606</v>
      </c>
      <c r="P136" s="11"/>
    </row>
    <row r="137" spans="1:16">
      <c r="A137" s="1" t="s">
        <v>39</v>
      </c>
      <c r="B137" s="1" t="s">
        <v>25</v>
      </c>
      <c r="C137" s="1" t="s">
        <v>21</v>
      </c>
      <c r="D137" s="12">
        <v>1056</v>
      </c>
      <c r="E137" s="13">
        <v>66.3</v>
      </c>
      <c r="F137" s="14">
        <f t="shared" si="24"/>
        <v>70012.800000000003</v>
      </c>
      <c r="G137" s="12">
        <v>1151</v>
      </c>
      <c r="H137" s="13">
        <v>67.61</v>
      </c>
      <c r="I137" s="14">
        <f t="shared" si="25"/>
        <v>77819.11</v>
      </c>
      <c r="J137" s="14">
        <f t="shared" si="26"/>
        <v>7806.3099999999977</v>
      </c>
      <c r="K137" s="15">
        <f t="shared" si="27"/>
        <v>0.1114983260203848</v>
      </c>
      <c r="L137" s="9">
        <v>9</v>
      </c>
      <c r="M137" s="16" t="s">
        <v>20</v>
      </c>
      <c r="N137" s="14">
        <f t="shared" si="28"/>
        <v>612616.36</v>
      </c>
      <c r="O137" s="15">
        <f t="shared" si="29"/>
        <v>0.68955800017311653</v>
      </c>
      <c r="P137" s="17"/>
    </row>
    <row r="138" spans="1:16">
      <c r="A138" s="4" t="s">
        <v>39</v>
      </c>
      <c r="B138" s="4" t="s">
        <v>25</v>
      </c>
      <c r="C138" s="4" t="s">
        <v>23</v>
      </c>
      <c r="D138" s="5">
        <v>440</v>
      </c>
      <c r="E138" s="6">
        <v>224.4</v>
      </c>
      <c r="F138" s="7">
        <f t="shared" si="24"/>
        <v>98736</v>
      </c>
      <c r="G138" s="5">
        <v>408</v>
      </c>
      <c r="H138" s="6">
        <v>225.7</v>
      </c>
      <c r="I138" s="7">
        <f t="shared" si="25"/>
        <v>92085.599999999991</v>
      </c>
      <c r="J138" s="7">
        <f t="shared" si="26"/>
        <v>-6650.4000000000087</v>
      </c>
      <c r="K138" s="8">
        <f t="shared" si="27"/>
        <v>-6.7355371900826536E-2</v>
      </c>
      <c r="L138" s="9">
        <v>9</v>
      </c>
      <c r="M138" s="10" t="s">
        <v>22</v>
      </c>
      <c r="N138" s="7">
        <f t="shared" si="28"/>
        <v>855778.52</v>
      </c>
      <c r="O138" s="8">
        <f t="shared" si="29"/>
        <v>0.68302737334025687</v>
      </c>
      <c r="P138" s="11"/>
    </row>
    <row r="139" spans="1:16">
      <c r="A139" s="1" t="s">
        <v>39</v>
      </c>
      <c r="B139" s="1" t="s">
        <v>25</v>
      </c>
      <c r="C139" s="1" t="s">
        <v>24</v>
      </c>
      <c r="D139" s="12">
        <v>704</v>
      </c>
      <c r="E139" s="13">
        <v>96.9</v>
      </c>
      <c r="F139" s="14">
        <f t="shared" si="24"/>
        <v>68217.600000000006</v>
      </c>
      <c r="G139" s="12">
        <v>688</v>
      </c>
      <c r="H139" s="13">
        <v>98.93</v>
      </c>
      <c r="I139" s="14">
        <f t="shared" si="25"/>
        <v>68063.840000000011</v>
      </c>
      <c r="J139" s="14">
        <f t="shared" si="26"/>
        <v>-153.75999999999476</v>
      </c>
      <c r="K139" s="15">
        <f t="shared" si="27"/>
        <v>-2.2539637864714495E-3</v>
      </c>
      <c r="L139" s="9">
        <v>9</v>
      </c>
      <c r="M139" s="16" t="s">
        <v>22</v>
      </c>
      <c r="N139" s="14">
        <f t="shared" si="28"/>
        <v>593144.67999999993</v>
      </c>
      <c r="O139" s="15">
        <f t="shared" si="29"/>
        <v>0.68528399866632106</v>
      </c>
      <c r="P139" s="17"/>
    </row>
    <row r="140" spans="1:16">
      <c r="A140" s="4" t="s">
        <v>39</v>
      </c>
      <c r="B140" s="4" t="s">
        <v>26</v>
      </c>
      <c r="C140" s="4" t="s">
        <v>19</v>
      </c>
      <c r="D140" s="5">
        <v>2000</v>
      </c>
      <c r="E140" s="6">
        <v>45.9</v>
      </c>
      <c r="F140" s="7">
        <f t="shared" si="24"/>
        <v>91800</v>
      </c>
      <c r="G140" s="5">
        <v>2089</v>
      </c>
      <c r="H140" s="6">
        <v>45.5</v>
      </c>
      <c r="I140" s="7">
        <f t="shared" si="25"/>
        <v>95049.5</v>
      </c>
      <c r="J140" s="7">
        <f t="shared" si="26"/>
        <v>3249.5</v>
      </c>
      <c r="K140" s="8">
        <f t="shared" si="27"/>
        <v>3.5397603485838779E-2</v>
      </c>
      <c r="L140" s="9">
        <v>9</v>
      </c>
      <c r="M140" s="10" t="s">
        <v>20</v>
      </c>
      <c r="N140" s="7">
        <f t="shared" si="28"/>
        <v>831125.62000000011</v>
      </c>
      <c r="O140" s="8">
        <f t="shared" si="29"/>
        <v>0.71348873647967215</v>
      </c>
      <c r="P140" s="11"/>
    </row>
    <row r="141" spans="1:16">
      <c r="A141" s="1" t="s">
        <v>39</v>
      </c>
      <c r="B141" s="1" t="s">
        <v>26</v>
      </c>
      <c r="C141" s="1" t="s">
        <v>21</v>
      </c>
      <c r="D141" s="12">
        <v>1200</v>
      </c>
      <c r="E141" s="13">
        <v>66.3</v>
      </c>
      <c r="F141" s="14">
        <f t="shared" si="24"/>
        <v>79560</v>
      </c>
      <c r="G141" s="12">
        <v>1098</v>
      </c>
      <c r="H141" s="13">
        <v>65.790000000000006</v>
      </c>
      <c r="I141" s="14">
        <f t="shared" si="25"/>
        <v>72237.420000000013</v>
      </c>
      <c r="J141" s="14">
        <f t="shared" si="26"/>
        <v>-7322.5799999999872</v>
      </c>
      <c r="K141" s="15">
        <f t="shared" si="27"/>
        <v>-9.2038461538461375E-2</v>
      </c>
      <c r="L141" s="9">
        <v>9</v>
      </c>
      <c r="M141" s="16" t="s">
        <v>22</v>
      </c>
      <c r="N141" s="14">
        <f t="shared" si="28"/>
        <v>663334.07000000007</v>
      </c>
      <c r="O141" s="15">
        <f t="shared" si="29"/>
        <v>0.65704811694709198</v>
      </c>
      <c r="P141" s="17"/>
    </row>
    <row r="142" spans="1:16">
      <c r="A142" s="4" t="s">
        <v>39</v>
      </c>
      <c r="B142" s="4" t="s">
        <v>26</v>
      </c>
      <c r="C142" s="4" t="s">
        <v>23</v>
      </c>
      <c r="D142" s="5">
        <v>500</v>
      </c>
      <c r="E142" s="6">
        <v>224.4</v>
      </c>
      <c r="F142" s="7">
        <f t="shared" si="24"/>
        <v>112200</v>
      </c>
      <c r="G142" s="5">
        <v>540</v>
      </c>
      <c r="H142" s="6">
        <v>220.73</v>
      </c>
      <c r="I142" s="7">
        <f t="shared" si="25"/>
        <v>119194.2</v>
      </c>
      <c r="J142" s="7">
        <f t="shared" si="26"/>
        <v>6994.1999999999971</v>
      </c>
      <c r="K142" s="8">
        <f t="shared" si="27"/>
        <v>6.2336898395721901E-2</v>
      </c>
      <c r="L142" s="9">
        <v>9</v>
      </c>
      <c r="M142" s="10" t="s">
        <v>20</v>
      </c>
      <c r="N142" s="7">
        <f t="shared" si="28"/>
        <v>1013574.9099999999</v>
      </c>
      <c r="O142" s="8">
        <f t="shared" si="29"/>
        <v>0.71189311646370834</v>
      </c>
      <c r="P142" s="11"/>
    </row>
    <row r="143" spans="1:16">
      <c r="A143" s="1" t="s">
        <v>39</v>
      </c>
      <c r="B143" s="1" t="s">
        <v>26</v>
      </c>
      <c r="C143" s="1" t="s">
        <v>24</v>
      </c>
      <c r="D143" s="12">
        <v>800</v>
      </c>
      <c r="E143" s="13">
        <v>96.9</v>
      </c>
      <c r="F143" s="14">
        <f t="shared" si="24"/>
        <v>77520</v>
      </c>
      <c r="G143" s="12">
        <v>829</v>
      </c>
      <c r="H143" s="13">
        <v>95.9</v>
      </c>
      <c r="I143" s="14">
        <f t="shared" si="25"/>
        <v>79501.100000000006</v>
      </c>
      <c r="J143" s="14">
        <f t="shared" si="26"/>
        <v>1981.1000000000058</v>
      </c>
      <c r="K143" s="15">
        <f t="shared" si="27"/>
        <v>2.5555985552115659E-2</v>
      </c>
      <c r="L143" s="9">
        <v>9</v>
      </c>
      <c r="M143" s="16" t="s">
        <v>22</v>
      </c>
      <c r="N143" s="14">
        <f t="shared" si="28"/>
        <v>682453.04999999993</v>
      </c>
      <c r="O143" s="15">
        <f t="shared" si="29"/>
        <v>0.69377270088952969</v>
      </c>
      <c r="P143" s="17"/>
    </row>
    <row r="144" spans="1:16">
      <c r="A144" s="4" t="s">
        <v>39</v>
      </c>
      <c r="B144" s="4" t="s">
        <v>27</v>
      </c>
      <c r="C144" s="4" t="s">
        <v>19</v>
      </c>
      <c r="D144" s="5">
        <v>2360</v>
      </c>
      <c r="E144" s="6">
        <v>45.9</v>
      </c>
      <c r="F144" s="7">
        <f t="shared" si="24"/>
        <v>108324</v>
      </c>
      <c r="G144" s="5">
        <v>2381</v>
      </c>
      <c r="H144" s="6">
        <v>45.54</v>
      </c>
      <c r="I144" s="7">
        <f t="shared" si="25"/>
        <v>108430.74</v>
      </c>
      <c r="J144" s="7">
        <f t="shared" si="26"/>
        <v>106.74000000000524</v>
      </c>
      <c r="K144" s="8">
        <f t="shared" si="27"/>
        <v>9.8537720172819725E-4</v>
      </c>
      <c r="L144" s="9">
        <v>9</v>
      </c>
      <c r="M144" s="10" t="s">
        <v>22</v>
      </c>
      <c r="N144" s="7">
        <f t="shared" si="28"/>
        <v>966559.80999999982</v>
      </c>
      <c r="O144" s="8">
        <f t="shared" si="29"/>
        <v>0.7031809413483131</v>
      </c>
      <c r="P144" s="11"/>
    </row>
    <row r="145" spans="1:16">
      <c r="A145" s="1" t="s">
        <v>39</v>
      </c>
      <c r="B145" s="1" t="s">
        <v>27</v>
      </c>
      <c r="C145" s="1" t="s">
        <v>21</v>
      </c>
      <c r="D145" s="12">
        <v>1416</v>
      </c>
      <c r="E145" s="13">
        <v>66.3</v>
      </c>
      <c r="F145" s="14">
        <f t="shared" si="24"/>
        <v>93880.8</v>
      </c>
      <c r="G145" s="12">
        <v>1290</v>
      </c>
      <c r="H145" s="13">
        <v>67.459999999999994</v>
      </c>
      <c r="I145" s="14">
        <f t="shared" si="25"/>
        <v>87023.4</v>
      </c>
      <c r="J145" s="14">
        <f t="shared" si="26"/>
        <v>-6857.4000000000087</v>
      </c>
      <c r="K145" s="15">
        <f t="shared" si="27"/>
        <v>-7.3043689444487137E-2</v>
      </c>
      <c r="L145" s="9">
        <v>9</v>
      </c>
      <c r="M145" s="16" t="s">
        <v>22</v>
      </c>
      <c r="N145" s="14">
        <f t="shared" si="28"/>
        <v>826576.13</v>
      </c>
      <c r="O145" s="15">
        <f t="shared" si="29"/>
        <v>0.69384999470069975</v>
      </c>
      <c r="P145" s="17"/>
    </row>
    <row r="146" spans="1:16">
      <c r="A146" s="4" t="s">
        <v>39</v>
      </c>
      <c r="B146" s="4" t="s">
        <v>27</v>
      </c>
      <c r="C146" s="4" t="s">
        <v>23</v>
      </c>
      <c r="D146" s="5">
        <v>590</v>
      </c>
      <c r="E146" s="6">
        <v>224.4</v>
      </c>
      <c r="F146" s="7">
        <f t="shared" si="24"/>
        <v>132396</v>
      </c>
      <c r="G146" s="5">
        <v>549</v>
      </c>
      <c r="H146" s="6">
        <v>224.68</v>
      </c>
      <c r="I146" s="7">
        <f t="shared" si="25"/>
        <v>123349.32</v>
      </c>
      <c r="J146" s="7">
        <f t="shared" si="26"/>
        <v>-9046.679999999993</v>
      </c>
      <c r="K146" s="8">
        <f t="shared" si="27"/>
        <v>-6.8330463155986537E-2</v>
      </c>
      <c r="L146" s="9">
        <v>9</v>
      </c>
      <c r="M146" s="10" t="s">
        <v>20</v>
      </c>
      <c r="N146" s="7">
        <f t="shared" si="28"/>
        <v>1143952.24</v>
      </c>
      <c r="O146" s="8">
        <f t="shared" si="29"/>
        <v>0.68085874394529722</v>
      </c>
      <c r="P146" s="11"/>
    </row>
    <row r="147" spans="1:16">
      <c r="A147" s="1" t="s">
        <v>39</v>
      </c>
      <c r="B147" s="1" t="s">
        <v>27</v>
      </c>
      <c r="C147" s="1" t="s">
        <v>24</v>
      </c>
      <c r="D147" s="12">
        <v>944</v>
      </c>
      <c r="E147" s="13">
        <v>96.9</v>
      </c>
      <c r="F147" s="14">
        <f t="shared" si="24"/>
        <v>91473.600000000006</v>
      </c>
      <c r="G147" s="12">
        <v>1040</v>
      </c>
      <c r="H147" s="13">
        <v>97.47</v>
      </c>
      <c r="I147" s="14">
        <f t="shared" si="25"/>
        <v>101368.8</v>
      </c>
      <c r="J147" s="14">
        <f t="shared" si="26"/>
        <v>9895.1999999999971</v>
      </c>
      <c r="K147" s="15">
        <f t="shared" si="27"/>
        <v>0.10817547357926217</v>
      </c>
      <c r="L147" s="9">
        <v>9</v>
      </c>
      <c r="M147" s="16" t="s">
        <v>20</v>
      </c>
      <c r="N147" s="14">
        <f t="shared" si="28"/>
        <v>777539.14000000013</v>
      </c>
      <c r="O147" s="15">
        <f t="shared" si="29"/>
        <v>0.66986096006135931</v>
      </c>
      <c r="P147" s="17"/>
    </row>
    <row r="148" spans="1:16">
      <c r="A148" s="4" t="s">
        <v>40</v>
      </c>
      <c r="B148" s="4" t="s">
        <v>18</v>
      </c>
      <c r="C148" s="4" t="s">
        <v>19</v>
      </c>
      <c r="D148" s="5">
        <v>2464</v>
      </c>
      <c r="E148" s="6">
        <v>46.01</v>
      </c>
      <c r="F148" s="7">
        <f t="shared" si="24"/>
        <v>113368.64</v>
      </c>
      <c r="G148" s="5">
        <v>2365</v>
      </c>
      <c r="H148" s="6">
        <v>47.04</v>
      </c>
      <c r="I148" s="7">
        <f t="shared" si="25"/>
        <v>111249.59999999999</v>
      </c>
      <c r="J148" s="7">
        <f t="shared" si="26"/>
        <v>-2119.0400000000081</v>
      </c>
      <c r="K148" s="8">
        <f t="shared" si="27"/>
        <v>-1.86915887850468E-2</v>
      </c>
      <c r="L148" s="9">
        <v>10</v>
      </c>
      <c r="M148" s="10" t="s">
        <v>22</v>
      </c>
      <c r="N148" s="7">
        <f t="shared" si="28"/>
        <v>1023222.7999999999</v>
      </c>
      <c r="O148" s="8">
        <f t="shared" si="29"/>
        <v>0.79854238980930281</v>
      </c>
      <c r="P148" s="11"/>
    </row>
    <row r="149" spans="1:16">
      <c r="A149" s="1" t="s">
        <v>40</v>
      </c>
      <c r="B149" s="1" t="s">
        <v>18</v>
      </c>
      <c r="C149" s="1" t="s">
        <v>21</v>
      </c>
      <c r="D149" s="12">
        <v>1478</v>
      </c>
      <c r="E149" s="13">
        <v>66.459999999999994</v>
      </c>
      <c r="F149" s="14">
        <f t="shared" si="24"/>
        <v>98227.87999999999</v>
      </c>
      <c r="G149" s="12">
        <v>1582</v>
      </c>
      <c r="H149" s="13">
        <v>67.349999999999994</v>
      </c>
      <c r="I149" s="14">
        <f t="shared" si="25"/>
        <v>106547.7</v>
      </c>
      <c r="J149" s="14">
        <f t="shared" si="26"/>
        <v>8319.820000000007</v>
      </c>
      <c r="K149" s="15">
        <f t="shared" si="27"/>
        <v>8.4699170948207447E-2</v>
      </c>
      <c r="L149" s="9">
        <v>10</v>
      </c>
      <c r="M149" s="16" t="s">
        <v>28</v>
      </c>
      <c r="N149" s="14">
        <f t="shared" si="28"/>
        <v>879175.46</v>
      </c>
      <c r="O149" s="15">
        <f t="shared" si="29"/>
        <v>0.79167662068120559</v>
      </c>
      <c r="P149" s="17"/>
    </row>
    <row r="150" spans="1:16">
      <c r="A150" s="4" t="s">
        <v>40</v>
      </c>
      <c r="B150" s="4" t="s">
        <v>18</v>
      </c>
      <c r="C150" s="4" t="s">
        <v>23</v>
      </c>
      <c r="D150" s="5">
        <v>616</v>
      </c>
      <c r="E150" s="6">
        <v>224.95</v>
      </c>
      <c r="F150" s="7">
        <f t="shared" si="24"/>
        <v>138569.19999999998</v>
      </c>
      <c r="G150" s="5">
        <v>634</v>
      </c>
      <c r="H150" s="6">
        <v>231.14</v>
      </c>
      <c r="I150" s="7">
        <f t="shared" si="25"/>
        <v>146542.75999999998</v>
      </c>
      <c r="J150" s="7">
        <f t="shared" si="26"/>
        <v>7973.5599999999977</v>
      </c>
      <c r="K150" s="8">
        <f t="shared" si="27"/>
        <v>5.7542080058194743E-2</v>
      </c>
      <c r="L150" s="9">
        <v>10</v>
      </c>
      <c r="M150" s="10" t="s">
        <v>28</v>
      </c>
      <c r="N150" s="7">
        <f t="shared" si="28"/>
        <v>1184782.8700000001</v>
      </c>
      <c r="O150" s="8">
        <f t="shared" si="29"/>
        <v>0.75644059292060206</v>
      </c>
      <c r="P150" s="11"/>
    </row>
    <row r="151" spans="1:16">
      <c r="A151" s="1" t="s">
        <v>40</v>
      </c>
      <c r="B151" s="1" t="s">
        <v>18</v>
      </c>
      <c r="C151" s="1" t="s">
        <v>24</v>
      </c>
      <c r="D151" s="12">
        <v>986</v>
      </c>
      <c r="E151" s="13">
        <v>97.14</v>
      </c>
      <c r="F151" s="14">
        <f t="shared" si="24"/>
        <v>95780.04</v>
      </c>
      <c r="G151" s="12">
        <v>1018</v>
      </c>
      <c r="H151" s="13">
        <v>98.69</v>
      </c>
      <c r="I151" s="14">
        <f t="shared" si="25"/>
        <v>100466.42</v>
      </c>
      <c r="J151" s="14">
        <f t="shared" si="26"/>
        <v>4686.3800000000047</v>
      </c>
      <c r="K151" s="15">
        <f t="shared" si="27"/>
        <v>4.8928565909974617E-2</v>
      </c>
      <c r="L151" s="9">
        <v>10</v>
      </c>
      <c r="M151" s="16" t="s">
        <v>22</v>
      </c>
      <c r="N151" s="14">
        <f t="shared" si="28"/>
        <v>847067.06</v>
      </c>
      <c r="O151" s="15">
        <f t="shared" si="29"/>
        <v>0.78283353323119409</v>
      </c>
      <c r="P151" s="17"/>
    </row>
    <row r="152" spans="1:16">
      <c r="A152" s="4" t="s">
        <v>40</v>
      </c>
      <c r="B152" s="4" t="s">
        <v>25</v>
      </c>
      <c r="C152" s="4" t="s">
        <v>19</v>
      </c>
      <c r="D152" s="5">
        <v>1971</v>
      </c>
      <c r="E152" s="6">
        <v>46.01</v>
      </c>
      <c r="F152" s="7">
        <f t="shared" si="24"/>
        <v>90685.709999999992</v>
      </c>
      <c r="G152" s="5">
        <v>2121</v>
      </c>
      <c r="H152" s="6">
        <v>46.35</v>
      </c>
      <c r="I152" s="7">
        <f t="shared" si="25"/>
        <v>98308.35</v>
      </c>
      <c r="J152" s="7">
        <f t="shared" si="26"/>
        <v>7622.640000000014</v>
      </c>
      <c r="K152" s="8">
        <f t="shared" si="27"/>
        <v>8.405558053192741E-2</v>
      </c>
      <c r="L152" s="9">
        <v>10</v>
      </c>
      <c r="M152" s="10" t="s">
        <v>28</v>
      </c>
      <c r="N152" s="7">
        <f t="shared" si="28"/>
        <v>810906.17</v>
      </c>
      <c r="O152" s="8">
        <f t="shared" si="29"/>
        <v>0.79105789457870468</v>
      </c>
      <c r="P152" s="11"/>
    </row>
    <row r="153" spans="1:16">
      <c r="A153" s="1" t="s">
        <v>40</v>
      </c>
      <c r="B153" s="1" t="s">
        <v>25</v>
      </c>
      <c r="C153" s="1" t="s">
        <v>21</v>
      </c>
      <c r="D153" s="12">
        <v>1183</v>
      </c>
      <c r="E153" s="13">
        <v>66.459999999999994</v>
      </c>
      <c r="F153" s="14">
        <f t="shared" si="24"/>
        <v>78622.179999999993</v>
      </c>
      <c r="G153" s="12">
        <v>1252</v>
      </c>
      <c r="H153" s="13">
        <v>66.709999999999994</v>
      </c>
      <c r="I153" s="14">
        <f t="shared" si="25"/>
        <v>83520.92</v>
      </c>
      <c r="J153" s="14">
        <f t="shared" si="26"/>
        <v>4898.7400000000052</v>
      </c>
      <c r="K153" s="15">
        <f t="shared" si="27"/>
        <v>6.2307353980772417E-2</v>
      </c>
      <c r="L153" s="9">
        <v>10</v>
      </c>
      <c r="M153" s="16" t="s">
        <v>20</v>
      </c>
      <c r="N153" s="14">
        <f t="shared" si="28"/>
        <v>696137.28</v>
      </c>
      <c r="O153" s="15">
        <f t="shared" si="29"/>
        <v>0.78356874217781725</v>
      </c>
      <c r="P153" s="17"/>
    </row>
    <row r="154" spans="1:16">
      <c r="A154" s="4" t="s">
        <v>40</v>
      </c>
      <c r="B154" s="4" t="s">
        <v>25</v>
      </c>
      <c r="C154" s="4" t="s">
        <v>23</v>
      </c>
      <c r="D154" s="5">
        <v>493</v>
      </c>
      <c r="E154" s="6">
        <v>224.95</v>
      </c>
      <c r="F154" s="7">
        <f t="shared" si="24"/>
        <v>110900.34999999999</v>
      </c>
      <c r="G154" s="5">
        <v>473</v>
      </c>
      <c r="H154" s="6">
        <v>227.62</v>
      </c>
      <c r="I154" s="7">
        <f t="shared" si="25"/>
        <v>107664.26000000001</v>
      </c>
      <c r="J154" s="7">
        <f t="shared" si="26"/>
        <v>-3236.089999999982</v>
      </c>
      <c r="K154" s="8">
        <f t="shared" si="27"/>
        <v>-2.9180160387230359E-2</v>
      </c>
      <c r="L154" s="9">
        <v>10</v>
      </c>
      <c r="M154" s="10" t="s">
        <v>22</v>
      </c>
      <c r="N154" s="7">
        <f t="shared" si="28"/>
        <v>963442.78</v>
      </c>
      <c r="O154" s="8">
        <f t="shared" si="29"/>
        <v>0.7689580610027873</v>
      </c>
      <c r="P154" s="11"/>
    </row>
    <row r="155" spans="1:16">
      <c r="A155" s="1" t="s">
        <v>40</v>
      </c>
      <c r="B155" s="1" t="s">
        <v>25</v>
      </c>
      <c r="C155" s="1" t="s">
        <v>24</v>
      </c>
      <c r="D155" s="12">
        <v>788</v>
      </c>
      <c r="E155" s="13">
        <v>97.14</v>
      </c>
      <c r="F155" s="14">
        <f t="shared" si="24"/>
        <v>76546.320000000007</v>
      </c>
      <c r="G155" s="12">
        <v>799</v>
      </c>
      <c r="H155" s="13">
        <v>98.24</v>
      </c>
      <c r="I155" s="14">
        <f t="shared" si="25"/>
        <v>78493.759999999995</v>
      </c>
      <c r="J155" s="14">
        <f t="shared" si="26"/>
        <v>1947.4399999999878</v>
      </c>
      <c r="K155" s="15">
        <f t="shared" si="27"/>
        <v>2.5441327551735834E-2</v>
      </c>
      <c r="L155" s="9">
        <v>10</v>
      </c>
      <c r="M155" s="16" t="s">
        <v>20</v>
      </c>
      <c r="N155" s="14">
        <f t="shared" si="28"/>
        <v>671638.44</v>
      </c>
      <c r="O155" s="15">
        <f t="shared" si="29"/>
        <v>0.77597100899768667</v>
      </c>
      <c r="P155" s="17"/>
    </row>
    <row r="156" spans="1:16">
      <c r="A156" s="4" t="s">
        <v>40</v>
      </c>
      <c r="B156" s="4" t="s">
        <v>26</v>
      </c>
      <c r="C156" s="4" t="s">
        <v>19</v>
      </c>
      <c r="D156" s="5">
        <v>2240</v>
      </c>
      <c r="E156" s="6">
        <v>46.01</v>
      </c>
      <c r="F156" s="7">
        <f t="shared" si="24"/>
        <v>103062.39999999999</v>
      </c>
      <c r="G156" s="5">
        <v>2073</v>
      </c>
      <c r="H156" s="6">
        <v>45.75</v>
      </c>
      <c r="I156" s="7">
        <f t="shared" si="25"/>
        <v>94839.75</v>
      </c>
      <c r="J156" s="7">
        <f t="shared" si="26"/>
        <v>-8222.6499999999942</v>
      </c>
      <c r="K156" s="8">
        <f t="shared" si="27"/>
        <v>-7.9783218710218221E-2</v>
      </c>
      <c r="L156" s="9">
        <v>10</v>
      </c>
      <c r="M156" s="10" t="s">
        <v>20</v>
      </c>
      <c r="N156" s="7">
        <f t="shared" si="28"/>
        <v>925965.37000000011</v>
      </c>
      <c r="O156" s="8">
        <f t="shared" si="29"/>
        <v>0.79490494092244701</v>
      </c>
      <c r="P156" s="11"/>
    </row>
    <row r="157" spans="1:16">
      <c r="A157" s="1" t="s">
        <v>40</v>
      </c>
      <c r="B157" s="1" t="s">
        <v>26</v>
      </c>
      <c r="C157" s="1" t="s">
        <v>21</v>
      </c>
      <c r="D157" s="12">
        <v>1344</v>
      </c>
      <c r="E157" s="13">
        <v>66.459999999999994</v>
      </c>
      <c r="F157" s="14">
        <f t="shared" si="24"/>
        <v>89322.239999999991</v>
      </c>
      <c r="G157" s="12">
        <v>1309</v>
      </c>
      <c r="H157" s="13">
        <v>66.930000000000007</v>
      </c>
      <c r="I157" s="14">
        <f t="shared" si="25"/>
        <v>87611.37000000001</v>
      </c>
      <c r="J157" s="14">
        <f t="shared" si="26"/>
        <v>-1710.8699999999808</v>
      </c>
      <c r="K157" s="15">
        <f t="shared" si="27"/>
        <v>-1.9153908365934183E-2</v>
      </c>
      <c r="L157" s="9">
        <v>10</v>
      </c>
      <c r="M157" s="16" t="s">
        <v>20</v>
      </c>
      <c r="N157" s="14">
        <f t="shared" si="28"/>
        <v>750945.44000000006</v>
      </c>
      <c r="O157" s="15">
        <f t="shared" si="29"/>
        <v>0.74382925526802113</v>
      </c>
      <c r="P157" s="17"/>
    </row>
    <row r="158" spans="1:16">
      <c r="A158" s="4" t="s">
        <v>40</v>
      </c>
      <c r="B158" s="4" t="s">
        <v>26</v>
      </c>
      <c r="C158" s="4" t="s">
        <v>23</v>
      </c>
      <c r="D158" s="5">
        <v>560</v>
      </c>
      <c r="E158" s="6">
        <v>224.95</v>
      </c>
      <c r="F158" s="7">
        <f t="shared" si="24"/>
        <v>125972</v>
      </c>
      <c r="G158" s="5">
        <v>536</v>
      </c>
      <c r="H158" s="6">
        <v>228.26</v>
      </c>
      <c r="I158" s="7">
        <f t="shared" si="25"/>
        <v>122347.36</v>
      </c>
      <c r="J158" s="7">
        <f t="shared" si="26"/>
        <v>-3624.6399999999994</v>
      </c>
      <c r="K158" s="8">
        <f t="shared" si="27"/>
        <v>-2.8773378211031018E-2</v>
      </c>
      <c r="L158" s="9">
        <v>10</v>
      </c>
      <c r="M158" s="10" t="s">
        <v>22</v>
      </c>
      <c r="N158" s="7">
        <f t="shared" si="28"/>
        <v>1135922.27</v>
      </c>
      <c r="O158" s="8">
        <f t="shared" si="29"/>
        <v>0.79782484439243873</v>
      </c>
      <c r="P158" s="11"/>
    </row>
    <row r="159" spans="1:16">
      <c r="A159" s="1" t="s">
        <v>40</v>
      </c>
      <c r="B159" s="1" t="s">
        <v>26</v>
      </c>
      <c r="C159" s="1" t="s">
        <v>24</v>
      </c>
      <c r="D159" s="12">
        <v>896</v>
      </c>
      <c r="E159" s="13">
        <v>97.14</v>
      </c>
      <c r="F159" s="14">
        <f t="shared" si="24"/>
        <v>87037.440000000002</v>
      </c>
      <c r="G159" s="12">
        <v>827</v>
      </c>
      <c r="H159" s="13">
        <v>97.18</v>
      </c>
      <c r="I159" s="14">
        <f t="shared" si="25"/>
        <v>80367.86</v>
      </c>
      <c r="J159" s="14">
        <f t="shared" si="26"/>
        <v>-6669.5800000000017</v>
      </c>
      <c r="K159" s="15">
        <f t="shared" si="27"/>
        <v>-7.6628862245948434E-2</v>
      </c>
      <c r="L159" s="9">
        <v>10</v>
      </c>
      <c r="M159" s="16" t="s">
        <v>22</v>
      </c>
      <c r="N159" s="14">
        <f t="shared" si="28"/>
        <v>762820.90999999992</v>
      </c>
      <c r="O159" s="15">
        <f t="shared" si="29"/>
        <v>0.77547359928380255</v>
      </c>
      <c r="P159" s="17"/>
    </row>
    <row r="160" spans="1:16">
      <c r="A160" s="4" t="s">
        <v>40</v>
      </c>
      <c r="B160" s="4" t="s">
        <v>27</v>
      </c>
      <c r="C160" s="4" t="s">
        <v>19</v>
      </c>
      <c r="D160" s="5">
        <v>2643</v>
      </c>
      <c r="E160" s="6">
        <v>46.01</v>
      </c>
      <c r="F160" s="7">
        <f t="shared" si="24"/>
        <v>121604.43</v>
      </c>
      <c r="G160" s="5">
        <v>2625</v>
      </c>
      <c r="H160" s="6">
        <v>45.57</v>
      </c>
      <c r="I160" s="7">
        <f t="shared" si="25"/>
        <v>119621.25</v>
      </c>
      <c r="J160" s="7">
        <f t="shared" si="26"/>
        <v>-1983.179999999993</v>
      </c>
      <c r="K160" s="8">
        <f t="shared" si="27"/>
        <v>-1.6308451920707109E-2</v>
      </c>
      <c r="L160" s="9">
        <v>10</v>
      </c>
      <c r="M160" s="10" t="s">
        <v>20</v>
      </c>
      <c r="N160" s="7">
        <f t="shared" si="28"/>
        <v>1086181.0599999998</v>
      </c>
      <c r="O160" s="8">
        <f t="shared" si="29"/>
        <v>0.79020647490558149</v>
      </c>
      <c r="P160" s="11"/>
    </row>
    <row r="161" spans="1:16">
      <c r="A161" s="1" t="s">
        <v>40</v>
      </c>
      <c r="B161" s="1" t="s">
        <v>27</v>
      </c>
      <c r="C161" s="1" t="s">
        <v>21</v>
      </c>
      <c r="D161" s="12">
        <v>1586</v>
      </c>
      <c r="E161" s="13">
        <v>66.459999999999994</v>
      </c>
      <c r="F161" s="14">
        <f t="shared" si="24"/>
        <v>105405.55999999998</v>
      </c>
      <c r="G161" s="12">
        <v>1730</v>
      </c>
      <c r="H161" s="13">
        <v>67.069999999999993</v>
      </c>
      <c r="I161" s="14">
        <f t="shared" si="25"/>
        <v>116031.09999999999</v>
      </c>
      <c r="J161" s="14">
        <f t="shared" si="26"/>
        <v>10625.540000000008</v>
      </c>
      <c r="K161" s="15">
        <f t="shared" si="27"/>
        <v>0.10080625727902788</v>
      </c>
      <c r="L161" s="9">
        <v>10</v>
      </c>
      <c r="M161" s="16" t="s">
        <v>22</v>
      </c>
      <c r="N161" s="14">
        <f t="shared" si="28"/>
        <v>942607.23</v>
      </c>
      <c r="O161" s="15">
        <f t="shared" si="29"/>
        <v>0.79124958706506721</v>
      </c>
      <c r="P161" s="17"/>
    </row>
    <row r="162" spans="1:16">
      <c r="A162" s="4" t="s">
        <v>40</v>
      </c>
      <c r="B162" s="4" t="s">
        <v>27</v>
      </c>
      <c r="C162" s="4" t="s">
        <v>23</v>
      </c>
      <c r="D162" s="5">
        <v>661</v>
      </c>
      <c r="E162" s="6">
        <v>224.95</v>
      </c>
      <c r="F162" s="7">
        <f t="shared" si="24"/>
        <v>148691.94999999998</v>
      </c>
      <c r="G162" s="5">
        <v>715</v>
      </c>
      <c r="H162" s="6">
        <v>229.06</v>
      </c>
      <c r="I162" s="7">
        <f t="shared" si="25"/>
        <v>163777.9</v>
      </c>
      <c r="J162" s="7">
        <f t="shared" si="26"/>
        <v>15085.950000000012</v>
      </c>
      <c r="K162" s="8">
        <f t="shared" si="27"/>
        <v>0.10145774535877708</v>
      </c>
      <c r="L162" s="9">
        <v>10</v>
      </c>
      <c r="M162" s="10" t="s">
        <v>20</v>
      </c>
      <c r="N162" s="7">
        <f t="shared" si="28"/>
        <v>1307730.1399999999</v>
      </c>
      <c r="O162" s="8">
        <f t="shared" si="29"/>
        <v>0.7783362533909699</v>
      </c>
      <c r="P162" s="11"/>
    </row>
    <row r="163" spans="1:16">
      <c r="A163" s="1" t="s">
        <v>40</v>
      </c>
      <c r="B163" s="1" t="s">
        <v>27</v>
      </c>
      <c r="C163" s="1" t="s">
        <v>24</v>
      </c>
      <c r="D163" s="12">
        <v>1057</v>
      </c>
      <c r="E163" s="13">
        <v>97.14</v>
      </c>
      <c r="F163" s="14">
        <f t="shared" si="24"/>
        <v>102676.98</v>
      </c>
      <c r="G163" s="12">
        <v>963</v>
      </c>
      <c r="H163" s="13">
        <v>96.91</v>
      </c>
      <c r="I163" s="14">
        <f t="shared" si="25"/>
        <v>93324.33</v>
      </c>
      <c r="J163" s="14">
        <f t="shared" si="26"/>
        <v>-9352.6499999999942</v>
      </c>
      <c r="K163" s="15">
        <f t="shared" si="27"/>
        <v>-9.1088090047058201E-2</v>
      </c>
      <c r="L163" s="9">
        <v>10</v>
      </c>
      <c r="M163" s="16" t="s">
        <v>22</v>
      </c>
      <c r="N163" s="14">
        <f t="shared" si="28"/>
        <v>870863.47000000009</v>
      </c>
      <c r="O163" s="15">
        <f t="shared" si="29"/>
        <v>0.75026118954804866</v>
      </c>
      <c r="P163" s="17"/>
    </row>
    <row r="164" spans="1:16">
      <c r="A164" s="4" t="s">
        <v>41</v>
      </c>
      <c r="B164" s="4" t="s">
        <v>18</v>
      </c>
      <c r="C164" s="4" t="s">
        <v>19</v>
      </c>
      <c r="D164" s="5">
        <v>3036</v>
      </c>
      <c r="E164" s="6">
        <v>46.12</v>
      </c>
      <c r="F164" s="7">
        <f t="shared" ref="F164:F195" si="30">D164*E164</f>
        <v>140020.31999999998</v>
      </c>
      <c r="G164" s="5">
        <v>3281</v>
      </c>
      <c r="H164" s="6">
        <v>47.4</v>
      </c>
      <c r="I164" s="7">
        <f t="shared" ref="I164:I195" si="31">G164*H164</f>
        <v>155519.4</v>
      </c>
      <c r="J164" s="7">
        <f t="shared" ref="J164:J195" si="32">I164-F164</f>
        <v>15499.080000000016</v>
      </c>
      <c r="K164" s="8">
        <f t="shared" ref="K164:K195" si="33">IFERROR(J164/F164,0)</f>
        <v>0.11069164818363519</v>
      </c>
      <c r="L164" s="9">
        <v>11</v>
      </c>
      <c r="M164" s="10" t="s">
        <v>20</v>
      </c>
      <c r="N164" s="7">
        <f t="shared" ref="N164:N195" si="34">SUMIFS($I$4:$I$195,$B$4:$B$195,B164,$C$4:$C$195,C164,$L$4:$L$195,"&lt;="&amp;L164)</f>
        <v>1178742.2</v>
      </c>
      <c r="O164" s="8">
        <f t="shared" ref="O164:O195" si="35">IFERROR(N164/SUMIFS($F$4:$F$195,$B$4:$B$195,B164,$C$4:$C$195,C164),0)</f>
        <v>0.91991266550850426</v>
      </c>
      <c r="P164" s="11"/>
    </row>
    <row r="165" spans="1:16">
      <c r="A165" s="1" t="s">
        <v>41</v>
      </c>
      <c r="B165" s="1" t="s">
        <v>18</v>
      </c>
      <c r="C165" s="1" t="s">
        <v>21</v>
      </c>
      <c r="D165" s="12">
        <v>1822</v>
      </c>
      <c r="E165" s="13">
        <v>66.62</v>
      </c>
      <c r="F165" s="14">
        <f t="shared" si="30"/>
        <v>121381.64000000001</v>
      </c>
      <c r="G165" s="12">
        <v>1930</v>
      </c>
      <c r="H165" s="13">
        <v>67.11</v>
      </c>
      <c r="I165" s="14">
        <f t="shared" si="31"/>
        <v>129522.3</v>
      </c>
      <c r="J165" s="14">
        <f t="shared" si="32"/>
        <v>8140.6599999999889</v>
      </c>
      <c r="K165" s="15">
        <f t="shared" si="33"/>
        <v>6.7066650277587181E-2</v>
      </c>
      <c r="L165" s="9">
        <v>11</v>
      </c>
      <c r="M165" s="16" t="s">
        <v>22</v>
      </c>
      <c r="N165" s="14">
        <f t="shared" si="34"/>
        <v>1008697.76</v>
      </c>
      <c r="O165" s="15">
        <f t="shared" si="35"/>
        <v>0.90830837558352895</v>
      </c>
      <c r="P165" s="17"/>
    </row>
    <row r="166" spans="1:16">
      <c r="A166" s="4" t="s">
        <v>41</v>
      </c>
      <c r="B166" s="4" t="s">
        <v>18</v>
      </c>
      <c r="C166" s="4" t="s">
        <v>23</v>
      </c>
      <c r="D166" s="5">
        <v>759</v>
      </c>
      <c r="E166" s="6">
        <v>225.5</v>
      </c>
      <c r="F166" s="7">
        <f t="shared" si="30"/>
        <v>171154.5</v>
      </c>
      <c r="G166" s="5">
        <v>724</v>
      </c>
      <c r="H166" s="6">
        <v>223.46</v>
      </c>
      <c r="I166" s="7">
        <f t="shared" si="31"/>
        <v>161785.04</v>
      </c>
      <c r="J166" s="7">
        <f t="shared" si="32"/>
        <v>-9369.4599999999919</v>
      </c>
      <c r="K166" s="8">
        <f t="shared" si="33"/>
        <v>-5.4742703230122446E-2</v>
      </c>
      <c r="L166" s="9">
        <v>11</v>
      </c>
      <c r="M166" s="10" t="s">
        <v>20</v>
      </c>
      <c r="N166" s="7">
        <f t="shared" si="34"/>
        <v>1346567.9100000001</v>
      </c>
      <c r="O166" s="8">
        <f t="shared" si="35"/>
        <v>0.85973443239287883</v>
      </c>
      <c r="P166" s="11"/>
    </row>
    <row r="167" spans="1:16">
      <c r="A167" s="1" t="s">
        <v>41</v>
      </c>
      <c r="B167" s="1" t="s">
        <v>18</v>
      </c>
      <c r="C167" s="1" t="s">
        <v>24</v>
      </c>
      <c r="D167" s="12">
        <v>1214</v>
      </c>
      <c r="E167" s="13">
        <v>97.37</v>
      </c>
      <c r="F167" s="14">
        <f t="shared" si="30"/>
        <v>118207.18000000001</v>
      </c>
      <c r="G167" s="12">
        <v>1112</v>
      </c>
      <c r="H167" s="13">
        <v>97.06</v>
      </c>
      <c r="I167" s="14">
        <f t="shared" si="31"/>
        <v>107930.72</v>
      </c>
      <c r="J167" s="14">
        <f t="shared" si="32"/>
        <v>-10276.460000000006</v>
      </c>
      <c r="K167" s="15">
        <f t="shared" si="33"/>
        <v>-8.6936005071773181E-2</v>
      </c>
      <c r="L167" s="9">
        <v>11</v>
      </c>
      <c r="M167" s="16" t="s">
        <v>22</v>
      </c>
      <c r="N167" s="14">
        <f t="shared" si="34"/>
        <v>954997.78</v>
      </c>
      <c r="O167" s="15">
        <f t="shared" si="35"/>
        <v>0.88257981173928135</v>
      </c>
      <c r="P167" s="17"/>
    </row>
    <row r="168" spans="1:16">
      <c r="A168" s="4" t="s">
        <v>41</v>
      </c>
      <c r="B168" s="4" t="s">
        <v>25</v>
      </c>
      <c r="C168" s="4" t="s">
        <v>19</v>
      </c>
      <c r="D168" s="5">
        <v>2429</v>
      </c>
      <c r="E168" s="6">
        <v>46.12</v>
      </c>
      <c r="F168" s="7">
        <f t="shared" si="30"/>
        <v>112025.48</v>
      </c>
      <c r="G168" s="5">
        <v>2407</v>
      </c>
      <c r="H168" s="6">
        <v>45.58</v>
      </c>
      <c r="I168" s="7">
        <f t="shared" si="31"/>
        <v>109711.06</v>
      </c>
      <c r="J168" s="7">
        <f t="shared" si="32"/>
        <v>-2314.4199999999983</v>
      </c>
      <c r="K168" s="8">
        <f t="shared" si="33"/>
        <v>-2.0659764189361191E-2</v>
      </c>
      <c r="L168" s="9">
        <v>11</v>
      </c>
      <c r="M168" s="10" t="s">
        <v>22</v>
      </c>
      <c r="N168" s="7">
        <f t="shared" si="34"/>
        <v>920617.23</v>
      </c>
      <c r="O168" s="8">
        <f t="shared" si="35"/>
        <v>0.89808359415575678</v>
      </c>
      <c r="P168" s="11"/>
    </row>
    <row r="169" spans="1:16">
      <c r="A169" s="1" t="s">
        <v>41</v>
      </c>
      <c r="B169" s="1" t="s">
        <v>25</v>
      </c>
      <c r="C169" s="1" t="s">
        <v>21</v>
      </c>
      <c r="D169" s="12">
        <v>1457</v>
      </c>
      <c r="E169" s="13">
        <v>66.62</v>
      </c>
      <c r="F169" s="14">
        <f t="shared" si="30"/>
        <v>97065.340000000011</v>
      </c>
      <c r="G169" s="12">
        <v>1363</v>
      </c>
      <c r="H169" s="13">
        <v>67.36</v>
      </c>
      <c r="I169" s="14">
        <f t="shared" si="31"/>
        <v>91811.68</v>
      </c>
      <c r="J169" s="14">
        <f t="shared" si="32"/>
        <v>-5253.660000000018</v>
      </c>
      <c r="K169" s="15">
        <f t="shared" si="33"/>
        <v>-5.4124984263177953E-2</v>
      </c>
      <c r="L169" s="9">
        <v>11</v>
      </c>
      <c r="M169" s="16" t="s">
        <v>20</v>
      </c>
      <c r="N169" s="14">
        <f t="shared" si="34"/>
        <v>787948.96</v>
      </c>
      <c r="O169" s="15">
        <f t="shared" si="35"/>
        <v>0.88691152338159396</v>
      </c>
      <c r="P169" s="17"/>
    </row>
    <row r="170" spans="1:16">
      <c r="A170" s="4" t="s">
        <v>41</v>
      </c>
      <c r="B170" s="4" t="s">
        <v>25</v>
      </c>
      <c r="C170" s="4" t="s">
        <v>23</v>
      </c>
      <c r="D170" s="5">
        <v>607</v>
      </c>
      <c r="E170" s="6">
        <v>225.5</v>
      </c>
      <c r="F170" s="7">
        <f t="shared" si="30"/>
        <v>136878.5</v>
      </c>
      <c r="G170" s="5">
        <v>600</v>
      </c>
      <c r="H170" s="6">
        <v>227.35</v>
      </c>
      <c r="I170" s="7">
        <f t="shared" si="31"/>
        <v>136410</v>
      </c>
      <c r="J170" s="7">
        <f t="shared" si="32"/>
        <v>-468.5</v>
      </c>
      <c r="K170" s="8">
        <f t="shared" si="33"/>
        <v>-3.422743528019375E-3</v>
      </c>
      <c r="L170" s="9">
        <v>11</v>
      </c>
      <c r="M170" s="10" t="s">
        <v>20</v>
      </c>
      <c r="N170" s="7">
        <f t="shared" si="34"/>
        <v>1099852.78</v>
      </c>
      <c r="O170" s="8">
        <f t="shared" si="35"/>
        <v>0.87783174948627996</v>
      </c>
      <c r="P170" s="11"/>
    </row>
    <row r="171" spans="1:16">
      <c r="A171" s="1" t="s">
        <v>41</v>
      </c>
      <c r="B171" s="1" t="s">
        <v>25</v>
      </c>
      <c r="C171" s="1" t="s">
        <v>24</v>
      </c>
      <c r="D171" s="12">
        <v>972</v>
      </c>
      <c r="E171" s="13">
        <v>97.37</v>
      </c>
      <c r="F171" s="14">
        <f t="shared" si="30"/>
        <v>94643.64</v>
      </c>
      <c r="G171" s="12">
        <v>1009</v>
      </c>
      <c r="H171" s="13">
        <v>96.08</v>
      </c>
      <c r="I171" s="14">
        <f t="shared" si="31"/>
        <v>96944.72</v>
      </c>
      <c r="J171" s="14">
        <f t="shared" si="32"/>
        <v>2301.0800000000017</v>
      </c>
      <c r="K171" s="15">
        <f t="shared" si="33"/>
        <v>2.4313097002608964E-2</v>
      </c>
      <c r="L171" s="9">
        <v>11</v>
      </c>
      <c r="M171" s="16" t="s">
        <v>22</v>
      </c>
      <c r="N171" s="14">
        <f t="shared" si="34"/>
        <v>768583.15999999992</v>
      </c>
      <c r="O171" s="15">
        <f t="shared" si="35"/>
        <v>0.88797515842576025</v>
      </c>
      <c r="P171" s="17"/>
    </row>
    <row r="172" spans="1:16">
      <c r="A172" s="4" t="s">
        <v>41</v>
      </c>
      <c r="B172" s="4" t="s">
        <v>26</v>
      </c>
      <c r="C172" s="4" t="s">
        <v>19</v>
      </c>
      <c r="D172" s="5">
        <v>2760</v>
      </c>
      <c r="E172" s="6">
        <v>46.12</v>
      </c>
      <c r="F172" s="7">
        <f t="shared" si="30"/>
        <v>127291.2</v>
      </c>
      <c r="G172" s="5">
        <v>2539</v>
      </c>
      <c r="H172" s="6">
        <v>46.07</v>
      </c>
      <c r="I172" s="7">
        <f t="shared" si="31"/>
        <v>116971.73</v>
      </c>
      <c r="J172" s="7">
        <f t="shared" si="32"/>
        <v>-10319.470000000001</v>
      </c>
      <c r="K172" s="8">
        <f t="shared" si="33"/>
        <v>-8.1069783300023887E-2</v>
      </c>
      <c r="L172" s="9">
        <v>11</v>
      </c>
      <c r="M172" s="10" t="s">
        <v>20</v>
      </c>
      <c r="N172" s="7">
        <f t="shared" si="34"/>
        <v>1042937.1000000001</v>
      </c>
      <c r="O172" s="8">
        <f t="shared" si="35"/>
        <v>0.89532058187157493</v>
      </c>
      <c r="P172" s="11"/>
    </row>
    <row r="173" spans="1:16">
      <c r="A173" s="1" t="s">
        <v>41</v>
      </c>
      <c r="B173" s="1" t="s">
        <v>26</v>
      </c>
      <c r="C173" s="1" t="s">
        <v>21</v>
      </c>
      <c r="D173" s="12">
        <v>1656</v>
      </c>
      <c r="E173" s="13">
        <v>66.62</v>
      </c>
      <c r="F173" s="14">
        <f t="shared" si="30"/>
        <v>110322.72</v>
      </c>
      <c r="G173" s="12">
        <v>1615</v>
      </c>
      <c r="H173" s="13">
        <v>67.819999999999993</v>
      </c>
      <c r="I173" s="14">
        <f t="shared" si="31"/>
        <v>109529.29999999999</v>
      </c>
      <c r="J173" s="14">
        <f t="shared" si="32"/>
        <v>-793.42000000001281</v>
      </c>
      <c r="K173" s="15">
        <f t="shared" si="33"/>
        <v>-7.1918096290592981E-3</v>
      </c>
      <c r="L173" s="9">
        <v>11</v>
      </c>
      <c r="M173" s="16" t="s">
        <v>20</v>
      </c>
      <c r="N173" s="14">
        <f t="shared" si="34"/>
        <v>860474.74</v>
      </c>
      <c r="O173" s="15">
        <f t="shared" si="35"/>
        <v>0.85232062269549713</v>
      </c>
      <c r="P173" s="17"/>
    </row>
    <row r="174" spans="1:16">
      <c r="A174" s="4" t="s">
        <v>41</v>
      </c>
      <c r="B174" s="4" t="s">
        <v>26</v>
      </c>
      <c r="C174" s="4" t="s">
        <v>23</v>
      </c>
      <c r="D174" s="5">
        <v>690</v>
      </c>
      <c r="E174" s="6">
        <v>225.5</v>
      </c>
      <c r="F174" s="7">
        <f t="shared" si="30"/>
        <v>155595</v>
      </c>
      <c r="G174" s="5">
        <v>732</v>
      </c>
      <c r="H174" s="6">
        <v>230.37</v>
      </c>
      <c r="I174" s="7">
        <f t="shared" si="31"/>
        <v>168630.84</v>
      </c>
      <c r="J174" s="7">
        <f t="shared" si="32"/>
        <v>13035.839999999997</v>
      </c>
      <c r="K174" s="8">
        <f t="shared" si="33"/>
        <v>8.3780584209004125E-2</v>
      </c>
      <c r="L174" s="9">
        <v>11</v>
      </c>
      <c r="M174" s="10" t="s">
        <v>20</v>
      </c>
      <c r="N174" s="7">
        <f t="shared" si="34"/>
        <v>1304553.1100000001</v>
      </c>
      <c r="O174" s="8">
        <f t="shared" si="35"/>
        <v>0.91626417535367277</v>
      </c>
      <c r="P174" s="11"/>
    </row>
    <row r="175" spans="1:16">
      <c r="A175" s="1" t="s">
        <v>41</v>
      </c>
      <c r="B175" s="1" t="s">
        <v>26</v>
      </c>
      <c r="C175" s="1" t="s">
        <v>24</v>
      </c>
      <c r="D175" s="12">
        <v>1104</v>
      </c>
      <c r="E175" s="13">
        <v>97.37</v>
      </c>
      <c r="F175" s="14">
        <f t="shared" si="30"/>
        <v>107496.48000000001</v>
      </c>
      <c r="G175" s="12">
        <v>1023</v>
      </c>
      <c r="H175" s="13">
        <v>95.52</v>
      </c>
      <c r="I175" s="14">
        <f t="shared" si="31"/>
        <v>97716.959999999992</v>
      </c>
      <c r="J175" s="14">
        <f t="shared" si="32"/>
        <v>-9779.5200000000186</v>
      </c>
      <c r="K175" s="15">
        <f t="shared" si="33"/>
        <v>-9.0975257980540555E-2</v>
      </c>
      <c r="L175" s="9">
        <v>11</v>
      </c>
      <c r="M175" s="16" t="s">
        <v>22</v>
      </c>
      <c r="N175" s="14">
        <f t="shared" si="34"/>
        <v>860537.86999999988</v>
      </c>
      <c r="O175" s="15">
        <f t="shared" si="35"/>
        <v>0.87481136217007593</v>
      </c>
      <c r="P175" s="17"/>
    </row>
    <row r="176" spans="1:16">
      <c r="A176" s="4" t="s">
        <v>41</v>
      </c>
      <c r="B176" s="4" t="s">
        <v>27</v>
      </c>
      <c r="C176" s="4" t="s">
        <v>19</v>
      </c>
      <c r="D176" s="5">
        <v>3257</v>
      </c>
      <c r="E176" s="6">
        <v>46.12</v>
      </c>
      <c r="F176" s="7">
        <f t="shared" si="30"/>
        <v>150212.84</v>
      </c>
      <c r="G176" s="5">
        <v>3615</v>
      </c>
      <c r="H176" s="6">
        <v>46</v>
      </c>
      <c r="I176" s="7">
        <f t="shared" si="31"/>
        <v>166290</v>
      </c>
      <c r="J176" s="7">
        <f t="shared" si="32"/>
        <v>16077.160000000003</v>
      </c>
      <c r="K176" s="8">
        <f t="shared" si="33"/>
        <v>0.10702919936804339</v>
      </c>
      <c r="L176" s="9">
        <v>11</v>
      </c>
      <c r="M176" s="10" t="s">
        <v>22</v>
      </c>
      <c r="N176" s="7">
        <f t="shared" si="34"/>
        <v>1252471.0599999998</v>
      </c>
      <c r="O176" s="8">
        <f t="shared" si="35"/>
        <v>0.91118394316676543</v>
      </c>
      <c r="P176" s="11"/>
    </row>
    <row r="177" spans="1:16">
      <c r="A177" s="1" t="s">
        <v>41</v>
      </c>
      <c r="B177" s="1" t="s">
        <v>27</v>
      </c>
      <c r="C177" s="1" t="s">
        <v>21</v>
      </c>
      <c r="D177" s="12">
        <v>1954</v>
      </c>
      <c r="E177" s="13">
        <v>66.62</v>
      </c>
      <c r="F177" s="14">
        <f t="shared" si="30"/>
        <v>130175.48000000001</v>
      </c>
      <c r="G177" s="12">
        <v>2083</v>
      </c>
      <c r="H177" s="13">
        <v>67.459999999999994</v>
      </c>
      <c r="I177" s="14">
        <f t="shared" si="31"/>
        <v>140519.18</v>
      </c>
      <c r="J177" s="14">
        <f t="shared" si="32"/>
        <v>10343.699999999983</v>
      </c>
      <c r="K177" s="15">
        <f t="shared" si="33"/>
        <v>7.9459664754068751E-2</v>
      </c>
      <c r="L177" s="9">
        <v>11</v>
      </c>
      <c r="M177" s="16" t="s">
        <v>22</v>
      </c>
      <c r="N177" s="14">
        <f t="shared" si="34"/>
        <v>1083126.4099999999</v>
      </c>
      <c r="O177" s="15">
        <f t="shared" si="35"/>
        <v>0.90920512529038056</v>
      </c>
      <c r="P177" s="17"/>
    </row>
    <row r="178" spans="1:16">
      <c r="A178" s="4" t="s">
        <v>41</v>
      </c>
      <c r="B178" s="4" t="s">
        <v>27</v>
      </c>
      <c r="C178" s="4" t="s">
        <v>23</v>
      </c>
      <c r="D178" s="5">
        <v>814</v>
      </c>
      <c r="E178" s="6">
        <v>225.5</v>
      </c>
      <c r="F178" s="7">
        <f t="shared" si="30"/>
        <v>183557</v>
      </c>
      <c r="G178" s="5">
        <v>895</v>
      </c>
      <c r="H178" s="6">
        <v>223.24</v>
      </c>
      <c r="I178" s="7">
        <f t="shared" si="31"/>
        <v>199799.80000000002</v>
      </c>
      <c r="J178" s="7">
        <f t="shared" si="32"/>
        <v>16242.800000000017</v>
      </c>
      <c r="K178" s="8">
        <f t="shared" si="33"/>
        <v>8.8489134165409211E-2</v>
      </c>
      <c r="L178" s="9">
        <v>11</v>
      </c>
      <c r="M178" s="10" t="s">
        <v>20</v>
      </c>
      <c r="N178" s="7">
        <f t="shared" si="34"/>
        <v>1507529.94</v>
      </c>
      <c r="O178" s="8">
        <f t="shared" si="35"/>
        <v>0.89725331663175834</v>
      </c>
      <c r="P178" s="11"/>
    </row>
    <row r="179" spans="1:16">
      <c r="A179" s="1" t="s">
        <v>41</v>
      </c>
      <c r="B179" s="1" t="s">
        <v>27</v>
      </c>
      <c r="C179" s="1" t="s">
        <v>24</v>
      </c>
      <c r="D179" s="12">
        <v>1303</v>
      </c>
      <c r="E179" s="13">
        <v>97.37</v>
      </c>
      <c r="F179" s="14">
        <f t="shared" si="30"/>
        <v>126873.11</v>
      </c>
      <c r="G179" s="12">
        <v>1225</v>
      </c>
      <c r="H179" s="13">
        <v>96.04</v>
      </c>
      <c r="I179" s="14">
        <f t="shared" si="31"/>
        <v>117649.00000000001</v>
      </c>
      <c r="J179" s="14">
        <f t="shared" si="32"/>
        <v>-9224.109999999986</v>
      </c>
      <c r="K179" s="15">
        <f t="shared" si="33"/>
        <v>-7.2703427857959704E-2</v>
      </c>
      <c r="L179" s="9">
        <v>11</v>
      </c>
      <c r="M179" s="16" t="s">
        <v>22</v>
      </c>
      <c r="N179" s="14">
        <f t="shared" si="34"/>
        <v>988512.47000000009</v>
      </c>
      <c r="O179" s="15">
        <f t="shared" si="35"/>
        <v>0.85161746608257638</v>
      </c>
      <c r="P179" s="17"/>
    </row>
    <row r="180" spans="1:16">
      <c r="A180" s="4" t="s">
        <v>42</v>
      </c>
      <c r="B180" s="4" t="s">
        <v>18</v>
      </c>
      <c r="C180" s="4" t="s">
        <v>19</v>
      </c>
      <c r="D180" s="5">
        <v>3410</v>
      </c>
      <c r="E180" s="6">
        <v>46.24</v>
      </c>
      <c r="F180" s="7">
        <f t="shared" si="30"/>
        <v>157678.39999999999</v>
      </c>
      <c r="G180" s="5">
        <v>3488</v>
      </c>
      <c r="H180" s="6">
        <v>45.82</v>
      </c>
      <c r="I180" s="7">
        <f t="shared" si="31"/>
        <v>159820.16</v>
      </c>
      <c r="J180" s="7">
        <f t="shared" si="32"/>
        <v>2141.7600000000093</v>
      </c>
      <c r="K180" s="8">
        <f t="shared" si="33"/>
        <v>1.3583090645262821E-2</v>
      </c>
      <c r="L180" s="9">
        <v>12</v>
      </c>
      <c r="M180" s="10" t="s">
        <v>22</v>
      </c>
      <c r="N180" s="7">
        <f t="shared" si="34"/>
        <v>1338562.3599999999</v>
      </c>
      <c r="O180" s="8">
        <f t="shared" si="35"/>
        <v>1.0446393355026689</v>
      </c>
      <c r="P180" s="11"/>
    </row>
    <row r="181" spans="1:16">
      <c r="A181" s="1" t="s">
        <v>42</v>
      </c>
      <c r="B181" s="1" t="s">
        <v>18</v>
      </c>
      <c r="C181" s="1" t="s">
        <v>21</v>
      </c>
      <c r="D181" s="12">
        <v>2046</v>
      </c>
      <c r="E181" s="13">
        <v>66.790000000000006</v>
      </c>
      <c r="F181" s="14">
        <f t="shared" si="30"/>
        <v>136652.34000000003</v>
      </c>
      <c r="G181" s="12">
        <v>2176</v>
      </c>
      <c r="H181" s="13">
        <v>66.010000000000005</v>
      </c>
      <c r="I181" s="14">
        <f t="shared" si="31"/>
        <v>143637.76000000001</v>
      </c>
      <c r="J181" s="14">
        <f t="shared" si="32"/>
        <v>6985.4199999999837</v>
      </c>
      <c r="K181" s="15">
        <f t="shared" si="33"/>
        <v>5.1118187950531857E-2</v>
      </c>
      <c r="L181" s="9">
        <v>12</v>
      </c>
      <c r="M181" s="16" t="s">
        <v>22</v>
      </c>
      <c r="N181" s="14">
        <f t="shared" si="34"/>
        <v>1152335.52</v>
      </c>
      <c r="O181" s="15">
        <f t="shared" si="35"/>
        <v>1.0376507669635364</v>
      </c>
      <c r="P181" s="17"/>
    </row>
    <row r="182" spans="1:16">
      <c r="A182" s="4" t="s">
        <v>42</v>
      </c>
      <c r="B182" s="4" t="s">
        <v>18</v>
      </c>
      <c r="C182" s="4" t="s">
        <v>23</v>
      </c>
      <c r="D182" s="5">
        <v>852</v>
      </c>
      <c r="E182" s="6">
        <v>226.05</v>
      </c>
      <c r="F182" s="7">
        <f t="shared" si="30"/>
        <v>192594.6</v>
      </c>
      <c r="G182" s="5">
        <v>903</v>
      </c>
      <c r="H182" s="6">
        <v>222.82</v>
      </c>
      <c r="I182" s="7">
        <f t="shared" si="31"/>
        <v>201206.46</v>
      </c>
      <c r="J182" s="7">
        <f t="shared" si="32"/>
        <v>8611.859999999986</v>
      </c>
      <c r="K182" s="8">
        <f t="shared" si="33"/>
        <v>4.4714960855600241E-2</v>
      </c>
      <c r="L182" s="9">
        <v>12</v>
      </c>
      <c r="M182" s="10" t="s">
        <v>22</v>
      </c>
      <c r="N182" s="7">
        <f t="shared" si="34"/>
        <v>1547774.37</v>
      </c>
      <c r="O182" s="8">
        <f t="shared" si="35"/>
        <v>0.98819740882150942</v>
      </c>
      <c r="P182" s="11"/>
    </row>
    <row r="183" spans="1:16">
      <c r="A183" s="1" t="s">
        <v>42</v>
      </c>
      <c r="B183" s="1" t="s">
        <v>18</v>
      </c>
      <c r="C183" s="1" t="s">
        <v>24</v>
      </c>
      <c r="D183" s="12">
        <v>1364</v>
      </c>
      <c r="E183" s="13">
        <v>97.61</v>
      </c>
      <c r="F183" s="14">
        <f t="shared" si="30"/>
        <v>133140.04</v>
      </c>
      <c r="G183" s="12">
        <v>1504</v>
      </c>
      <c r="H183" s="13">
        <v>96.19</v>
      </c>
      <c r="I183" s="14">
        <f t="shared" si="31"/>
        <v>144669.76000000001</v>
      </c>
      <c r="J183" s="14">
        <f t="shared" si="32"/>
        <v>11529.720000000001</v>
      </c>
      <c r="K183" s="15">
        <f t="shared" si="33"/>
        <v>8.6598441761020953E-2</v>
      </c>
      <c r="L183" s="9">
        <v>12</v>
      </c>
      <c r="M183" s="16" t="s">
        <v>20</v>
      </c>
      <c r="N183" s="14">
        <f t="shared" si="34"/>
        <v>1099667.54</v>
      </c>
      <c r="O183" s="15">
        <f t="shared" si="35"/>
        <v>1.0162791901243986</v>
      </c>
      <c r="P183" s="17"/>
    </row>
    <row r="184" spans="1:16">
      <c r="A184" s="4" t="s">
        <v>42</v>
      </c>
      <c r="B184" s="4" t="s">
        <v>25</v>
      </c>
      <c r="C184" s="4" t="s">
        <v>19</v>
      </c>
      <c r="D184" s="5">
        <v>2728</v>
      </c>
      <c r="E184" s="6">
        <v>46.24</v>
      </c>
      <c r="F184" s="7">
        <f t="shared" si="30"/>
        <v>126142.72</v>
      </c>
      <c r="G184" s="5">
        <v>2653</v>
      </c>
      <c r="H184" s="6">
        <v>46.88</v>
      </c>
      <c r="I184" s="7">
        <f t="shared" si="31"/>
        <v>124372.64000000001</v>
      </c>
      <c r="J184" s="7">
        <f t="shared" si="32"/>
        <v>-1770.0799999999872</v>
      </c>
      <c r="K184" s="8">
        <f t="shared" si="33"/>
        <v>-1.4032359536880029E-2</v>
      </c>
      <c r="L184" s="9">
        <v>12</v>
      </c>
      <c r="M184" s="10" t="s">
        <v>28</v>
      </c>
      <c r="N184" s="7">
        <f t="shared" si="34"/>
        <v>1044989.87</v>
      </c>
      <c r="O184" s="8">
        <f t="shared" si="35"/>
        <v>1.0194120072095076</v>
      </c>
      <c r="P184" s="11"/>
    </row>
    <row r="185" spans="1:16">
      <c r="A185" s="1" t="s">
        <v>42</v>
      </c>
      <c r="B185" s="1" t="s">
        <v>25</v>
      </c>
      <c r="C185" s="1" t="s">
        <v>21</v>
      </c>
      <c r="D185" s="12">
        <v>1637</v>
      </c>
      <c r="E185" s="13">
        <v>66.790000000000006</v>
      </c>
      <c r="F185" s="14">
        <f t="shared" si="30"/>
        <v>109335.23000000001</v>
      </c>
      <c r="G185" s="12">
        <v>1620</v>
      </c>
      <c r="H185" s="13">
        <v>67.84</v>
      </c>
      <c r="I185" s="14">
        <f t="shared" si="31"/>
        <v>109900.8</v>
      </c>
      <c r="J185" s="14">
        <f t="shared" si="32"/>
        <v>565.56999999999243</v>
      </c>
      <c r="K185" s="15">
        <f t="shared" si="33"/>
        <v>5.1728066058853344E-3</v>
      </c>
      <c r="L185" s="9">
        <v>12</v>
      </c>
      <c r="M185" s="16" t="s">
        <v>20</v>
      </c>
      <c r="N185" s="14">
        <f t="shared" si="34"/>
        <v>897849.76</v>
      </c>
      <c r="O185" s="15">
        <f t="shared" si="35"/>
        <v>1.0106153302231637</v>
      </c>
      <c r="P185" s="17"/>
    </row>
    <row r="186" spans="1:16">
      <c r="A186" s="4" t="s">
        <v>42</v>
      </c>
      <c r="B186" s="4" t="s">
        <v>25</v>
      </c>
      <c r="C186" s="4" t="s">
        <v>23</v>
      </c>
      <c r="D186" s="5">
        <v>682</v>
      </c>
      <c r="E186" s="6">
        <v>226.05</v>
      </c>
      <c r="F186" s="7">
        <f t="shared" si="30"/>
        <v>154166.1</v>
      </c>
      <c r="G186" s="5">
        <v>715</v>
      </c>
      <c r="H186" s="6">
        <v>228.62</v>
      </c>
      <c r="I186" s="7">
        <f t="shared" si="31"/>
        <v>163463.30000000002</v>
      </c>
      <c r="J186" s="7">
        <f t="shared" si="32"/>
        <v>9297.2000000000116</v>
      </c>
      <c r="K186" s="8">
        <f t="shared" si="33"/>
        <v>6.0306383828870366E-2</v>
      </c>
      <c r="L186" s="9">
        <v>12</v>
      </c>
      <c r="M186" s="10" t="s">
        <v>20</v>
      </c>
      <c r="N186" s="7">
        <f t="shared" si="34"/>
        <v>1263316.08</v>
      </c>
      <c r="O186" s="8">
        <f t="shared" si="35"/>
        <v>1.0082976420358269</v>
      </c>
      <c r="P186" s="11"/>
    </row>
    <row r="187" spans="1:16">
      <c r="A187" s="1" t="s">
        <v>42</v>
      </c>
      <c r="B187" s="1" t="s">
        <v>25</v>
      </c>
      <c r="C187" s="1" t="s">
        <v>24</v>
      </c>
      <c r="D187" s="12">
        <v>1091</v>
      </c>
      <c r="E187" s="13">
        <v>97.61</v>
      </c>
      <c r="F187" s="14">
        <f t="shared" si="30"/>
        <v>106492.51</v>
      </c>
      <c r="G187" s="12">
        <v>1161</v>
      </c>
      <c r="H187" s="13">
        <v>99.81</v>
      </c>
      <c r="I187" s="14">
        <f t="shared" si="31"/>
        <v>115879.41</v>
      </c>
      <c r="J187" s="14">
        <f t="shared" si="32"/>
        <v>9386.9000000000087</v>
      </c>
      <c r="K187" s="15">
        <f t="shared" si="33"/>
        <v>8.8146105298861008E-2</v>
      </c>
      <c r="L187" s="9">
        <v>12</v>
      </c>
      <c r="M187" s="16" t="s">
        <v>22</v>
      </c>
      <c r="N187" s="14">
        <f t="shared" si="34"/>
        <v>884462.57</v>
      </c>
      <c r="O187" s="15">
        <f t="shared" si="35"/>
        <v>1.0218553197514828</v>
      </c>
      <c r="P187" s="17"/>
    </row>
    <row r="188" spans="1:16">
      <c r="A188" s="4" t="s">
        <v>42</v>
      </c>
      <c r="B188" s="4" t="s">
        <v>26</v>
      </c>
      <c r="C188" s="4" t="s">
        <v>19</v>
      </c>
      <c r="D188" s="5">
        <v>3100</v>
      </c>
      <c r="E188" s="6">
        <v>46.24</v>
      </c>
      <c r="F188" s="7">
        <f t="shared" si="30"/>
        <v>143344</v>
      </c>
      <c r="G188" s="5">
        <v>2896</v>
      </c>
      <c r="H188" s="6">
        <v>47.59</v>
      </c>
      <c r="I188" s="7">
        <f t="shared" si="31"/>
        <v>137820.64000000001</v>
      </c>
      <c r="J188" s="7">
        <f t="shared" si="32"/>
        <v>-5523.359999999986</v>
      </c>
      <c r="K188" s="8">
        <f t="shared" si="33"/>
        <v>-3.8532202254715833E-2</v>
      </c>
      <c r="L188" s="9">
        <v>12</v>
      </c>
      <c r="M188" s="10" t="s">
        <v>22</v>
      </c>
      <c r="N188" s="7">
        <f t="shared" si="34"/>
        <v>1180757.7400000002</v>
      </c>
      <c r="O188" s="8">
        <f t="shared" si="35"/>
        <v>1.013634194071882</v>
      </c>
      <c r="P188" s="11"/>
    </row>
    <row r="189" spans="1:16">
      <c r="A189" s="1" t="s">
        <v>42</v>
      </c>
      <c r="B189" s="1" t="s">
        <v>26</v>
      </c>
      <c r="C189" s="1" t="s">
        <v>21</v>
      </c>
      <c r="D189" s="12">
        <v>1860</v>
      </c>
      <c r="E189" s="13">
        <v>66.790000000000006</v>
      </c>
      <c r="F189" s="14">
        <f t="shared" si="30"/>
        <v>124229.40000000001</v>
      </c>
      <c r="G189" s="12">
        <v>1822</v>
      </c>
      <c r="H189" s="13">
        <v>66.88</v>
      </c>
      <c r="I189" s="14">
        <f t="shared" si="31"/>
        <v>121855.35999999999</v>
      </c>
      <c r="J189" s="14">
        <f t="shared" si="32"/>
        <v>-2374.0400000000227</v>
      </c>
      <c r="K189" s="15">
        <f t="shared" si="33"/>
        <v>-1.9110130130227002E-2</v>
      </c>
      <c r="L189" s="9">
        <v>12</v>
      </c>
      <c r="M189" s="16" t="s">
        <v>20</v>
      </c>
      <c r="N189" s="14">
        <f t="shared" si="34"/>
        <v>982330.1</v>
      </c>
      <c r="O189" s="15">
        <f t="shared" si="35"/>
        <v>0.97302124467306261</v>
      </c>
      <c r="P189" s="17"/>
    </row>
    <row r="190" spans="1:16">
      <c r="A190" s="4" t="s">
        <v>42</v>
      </c>
      <c r="B190" s="4" t="s">
        <v>26</v>
      </c>
      <c r="C190" s="4" t="s">
        <v>23</v>
      </c>
      <c r="D190" s="5">
        <v>775</v>
      </c>
      <c r="E190" s="6">
        <v>226.05</v>
      </c>
      <c r="F190" s="7">
        <f t="shared" si="30"/>
        <v>175188.75</v>
      </c>
      <c r="G190" s="5">
        <v>784</v>
      </c>
      <c r="H190" s="6">
        <v>225.39</v>
      </c>
      <c r="I190" s="7">
        <f t="shared" si="31"/>
        <v>176705.75999999998</v>
      </c>
      <c r="J190" s="7">
        <f t="shared" si="32"/>
        <v>1517.0099999999802</v>
      </c>
      <c r="K190" s="8">
        <f t="shared" si="33"/>
        <v>8.6592889098185827E-3</v>
      </c>
      <c r="L190" s="9">
        <v>12</v>
      </c>
      <c r="M190" s="10" t="s">
        <v>22</v>
      </c>
      <c r="N190" s="7">
        <f t="shared" si="34"/>
        <v>1481258.87</v>
      </c>
      <c r="O190" s="8">
        <f t="shared" si="35"/>
        <v>1.0403749963126172</v>
      </c>
      <c r="P190" s="11"/>
    </row>
    <row r="191" spans="1:16">
      <c r="A191" s="1" t="s">
        <v>42</v>
      </c>
      <c r="B191" s="1" t="s">
        <v>26</v>
      </c>
      <c r="C191" s="1" t="s">
        <v>24</v>
      </c>
      <c r="D191" s="12">
        <v>1240</v>
      </c>
      <c r="E191" s="13">
        <v>97.61</v>
      </c>
      <c r="F191" s="14">
        <f t="shared" si="30"/>
        <v>121036.4</v>
      </c>
      <c r="G191" s="12">
        <v>1332</v>
      </c>
      <c r="H191" s="13">
        <v>96.17</v>
      </c>
      <c r="I191" s="14">
        <f t="shared" si="31"/>
        <v>128098.44</v>
      </c>
      <c r="J191" s="14">
        <f t="shared" si="32"/>
        <v>7062.0400000000081</v>
      </c>
      <c r="K191" s="15">
        <f t="shared" si="33"/>
        <v>5.8346414797532054E-2</v>
      </c>
      <c r="L191" s="9">
        <v>12</v>
      </c>
      <c r="M191" s="16" t="s">
        <v>28</v>
      </c>
      <c r="N191" s="14">
        <f t="shared" si="34"/>
        <v>988636.30999999982</v>
      </c>
      <c r="O191" s="15">
        <f t="shared" si="35"/>
        <v>1.0050345338571764</v>
      </c>
      <c r="P191" s="17"/>
    </row>
    <row r="192" spans="1:16">
      <c r="A192" s="4" t="s">
        <v>42</v>
      </c>
      <c r="B192" s="4" t="s">
        <v>27</v>
      </c>
      <c r="C192" s="4" t="s">
        <v>19</v>
      </c>
      <c r="D192" s="5">
        <v>3658</v>
      </c>
      <c r="E192" s="6">
        <v>46.24</v>
      </c>
      <c r="F192" s="7">
        <f t="shared" si="30"/>
        <v>169145.92</v>
      </c>
      <c r="G192" s="5">
        <v>3794</v>
      </c>
      <c r="H192" s="6">
        <v>47.23</v>
      </c>
      <c r="I192" s="7">
        <f t="shared" si="31"/>
        <v>179190.62</v>
      </c>
      <c r="J192" s="7">
        <f t="shared" si="32"/>
        <v>10044.699999999983</v>
      </c>
      <c r="K192" s="8">
        <f t="shared" si="33"/>
        <v>5.9384819923531007E-2</v>
      </c>
      <c r="L192" s="9">
        <v>12</v>
      </c>
      <c r="M192" s="10" t="s">
        <v>22</v>
      </c>
      <c r="N192" s="7">
        <f t="shared" si="34"/>
        <v>1431661.6799999997</v>
      </c>
      <c r="O192" s="8">
        <f t="shared" si="35"/>
        <v>1.0415467283237314</v>
      </c>
      <c r="P192" s="11"/>
    </row>
    <row r="193" spans="1:16">
      <c r="A193" s="1" t="s">
        <v>42</v>
      </c>
      <c r="B193" s="1" t="s">
        <v>27</v>
      </c>
      <c r="C193" s="1" t="s">
        <v>21</v>
      </c>
      <c r="D193" s="12">
        <v>2195</v>
      </c>
      <c r="E193" s="13">
        <v>66.790000000000006</v>
      </c>
      <c r="F193" s="14">
        <f t="shared" si="30"/>
        <v>146604.05000000002</v>
      </c>
      <c r="G193" s="12">
        <v>2189</v>
      </c>
      <c r="H193" s="13">
        <v>67.900000000000006</v>
      </c>
      <c r="I193" s="14">
        <f t="shared" si="31"/>
        <v>148633.1</v>
      </c>
      <c r="J193" s="14">
        <f t="shared" si="32"/>
        <v>2029.0499999999884</v>
      </c>
      <c r="K193" s="15">
        <f t="shared" si="33"/>
        <v>1.3840340700001045E-2</v>
      </c>
      <c r="L193" s="9">
        <v>12</v>
      </c>
      <c r="M193" s="16" t="s">
        <v>28</v>
      </c>
      <c r="N193" s="14">
        <f t="shared" si="34"/>
        <v>1231759.51</v>
      </c>
      <c r="O193" s="15">
        <f t="shared" si="35"/>
        <v>1.0339717038357212</v>
      </c>
      <c r="P193" s="17"/>
    </row>
    <row r="194" spans="1:16">
      <c r="A194" s="4" t="s">
        <v>42</v>
      </c>
      <c r="B194" s="4" t="s">
        <v>27</v>
      </c>
      <c r="C194" s="4" t="s">
        <v>23</v>
      </c>
      <c r="D194" s="5">
        <v>914</v>
      </c>
      <c r="E194" s="6">
        <v>226.05</v>
      </c>
      <c r="F194" s="7">
        <f t="shared" si="30"/>
        <v>206609.7</v>
      </c>
      <c r="G194" s="5">
        <v>881</v>
      </c>
      <c r="H194" s="6">
        <v>230.66</v>
      </c>
      <c r="I194" s="7">
        <f t="shared" si="31"/>
        <v>203211.46</v>
      </c>
      <c r="J194" s="7">
        <f t="shared" si="32"/>
        <v>-3398.2400000000198</v>
      </c>
      <c r="K194" s="8">
        <f t="shared" si="33"/>
        <v>-1.6447630483951235E-2</v>
      </c>
      <c r="L194" s="9">
        <v>12</v>
      </c>
      <c r="M194" s="10" t="s">
        <v>22</v>
      </c>
      <c r="N194" s="7">
        <f t="shared" si="34"/>
        <v>1710741.4</v>
      </c>
      <c r="O194" s="8">
        <f t="shared" si="35"/>
        <v>1.0182009353985086</v>
      </c>
      <c r="P194" s="11"/>
    </row>
    <row r="195" spans="1:16">
      <c r="A195" s="1" t="s">
        <v>42</v>
      </c>
      <c r="B195" s="1" t="s">
        <v>27</v>
      </c>
      <c r="C195" s="1" t="s">
        <v>24</v>
      </c>
      <c r="D195" s="12">
        <v>1463</v>
      </c>
      <c r="E195" s="13">
        <v>97.61</v>
      </c>
      <c r="F195" s="14">
        <f t="shared" si="30"/>
        <v>142803.43</v>
      </c>
      <c r="G195" s="12">
        <v>1473</v>
      </c>
      <c r="H195" s="13">
        <v>97.78</v>
      </c>
      <c r="I195" s="14">
        <f t="shared" si="31"/>
        <v>144029.94</v>
      </c>
      <c r="J195" s="14">
        <f t="shared" si="32"/>
        <v>1226.5100000000093</v>
      </c>
      <c r="K195" s="15">
        <f t="shared" si="33"/>
        <v>8.5887993026498681E-3</v>
      </c>
      <c r="L195" s="9">
        <v>12</v>
      </c>
      <c r="M195" s="16" t="s">
        <v>22</v>
      </c>
      <c r="N195" s="14">
        <f t="shared" si="34"/>
        <v>1132542.4100000001</v>
      </c>
      <c r="O195" s="15">
        <f t="shared" si="35"/>
        <v>0.97570129533647088</v>
      </c>
      <c r="P195" s="17"/>
    </row>
    <row r="196" spans="1:16">
      <c r="A196" s="64" t="s">
        <v>43</v>
      </c>
      <c r="B196" s="64"/>
      <c r="C196" s="64"/>
      <c r="D196" s="18">
        <f>SUM(D4:D195)</f>
        <v>238680</v>
      </c>
      <c r="E196" s="19">
        <f>AVERAGE(E4:E195)</f>
        <v>107.70999999999991</v>
      </c>
      <c r="F196" s="20">
        <f>SUM(F4:F195)</f>
        <v>19060826.110000003</v>
      </c>
      <c r="G196" s="18">
        <f>SUM(G4:G195)</f>
        <v>241874</v>
      </c>
      <c r="H196" s="19">
        <f>AVERAGE(H4:H195)</f>
        <v>108.23078125000006</v>
      </c>
      <c r="I196" s="20">
        <f>SUM(I4:I195)</f>
        <v>19368646.090000011</v>
      </c>
      <c r="J196" s="20">
        <f>SUM(J4:J195)</f>
        <v>307819.9800000001</v>
      </c>
      <c r="K196" s="21">
        <f t="shared" ref="K196:K227" si="36">IFERROR(J196/F196,0)</f>
        <v>1.6149351461661281E-2</v>
      </c>
      <c r="L196" s="22"/>
      <c r="M196" s="22"/>
      <c r="N196" s="20">
        <f>I196</f>
        <v>19368646.090000011</v>
      </c>
      <c r="O196" s="21">
        <f>IFERROR(N196/F196,0)</f>
        <v>1.0161493514616617</v>
      </c>
      <c r="P196" s="22"/>
    </row>
  </sheetData>
  <mergeCells count="2">
    <mergeCell ref="A1:P1"/>
    <mergeCell ref="A196:C196"/>
  </mergeCells>
  <conditionalFormatting sqref="K4:K195">
    <cfRule type="cellIs" dxfId="20" priority="2" operator="lessThan">
      <formula>0</formula>
    </cfRule>
    <cfRule type="cellIs" dxfId="19" priority="3" operator="greaterThanOrEqual">
      <formula>0</formula>
    </cfRule>
  </conditionalFormatting>
  <conditionalFormatting sqref="O4:O195">
    <cfRule type="cellIs" dxfId="18" priority="4" operator="lessThan">
      <formula>0.34</formula>
    </cfRule>
    <cfRule type="cellIs" dxfId="17" priority="5" operator="between">
      <formula>0.34</formula>
      <formula>0.67</formula>
    </cfRule>
    <cfRule type="cellIs" dxfId="16" priority="6" operator="greaterThanOrEqual">
      <formula>0.67</formula>
    </cfRule>
  </conditionalFormatting>
  <dataValidations count="2">
    <dataValidation type="whole" operator="greaterThanOrEqual" allowBlank="1" showErrorMessage="1" errorTitle="Units must be ≥ 0" error="Unit counts cannot be negative." sqref="D4:D195 G4:G195" xr:uid="{00000000-0002-0000-0000-000000000000}">
      <formula1>0</formula1>
      <formula2>0</formula2>
    </dataValidation>
    <dataValidation type="decimal" operator="greaterThanOrEqual" allowBlank="1" showErrorMessage="1" errorTitle="Price must be ≥ 0" error="Unit price cannot be negative." sqref="E4:E195 H4:H195" xr:uid="{00000000-0002-0000-00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C2626"/>
  </sheetPr>
  <dimension ref="A1:L100"/>
  <sheetViews>
    <sheetView showGridLines="0" zoomScaleNormal="100" workbookViewId="0">
      <pane ySplit="3" topLeftCell="A4" activePane="bottomLeft" state="frozen"/>
      <selection pane="bottomLeft" sqref="A1:L1"/>
    </sheetView>
  </sheetViews>
  <sheetFormatPr defaultColWidth="8.7109375" defaultRowHeight="15"/>
  <cols>
    <col min="1" max="1" width="8" customWidth="1"/>
    <col min="2" max="2" width="20" customWidth="1"/>
    <col min="3" max="4" width="16" customWidth="1"/>
    <col min="5" max="5" width="13" customWidth="1"/>
    <col min="6" max="6" width="11" customWidth="1"/>
    <col min="7" max="7" width="20" customWidth="1"/>
    <col min="8" max="8" width="16" customWidth="1"/>
    <col min="9" max="9" width="9" customWidth="1"/>
    <col min="10" max="10" width="16" customWidth="1"/>
    <col min="11" max="11" width="14" customWidth="1"/>
    <col min="12" max="12" width="32" customWidth="1"/>
  </cols>
  <sheetData>
    <row r="1" spans="1:12" ht="25.5" customHeight="1">
      <c r="A1" s="46" t="s">
        <v>44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3" spans="1:12" ht="30" customHeight="1">
      <c r="A3" s="3" t="s">
        <v>1</v>
      </c>
      <c r="B3" s="3" t="s">
        <v>45</v>
      </c>
      <c r="C3" s="3" t="s">
        <v>46</v>
      </c>
      <c r="D3" s="3" t="s">
        <v>47</v>
      </c>
      <c r="E3" s="3" t="s">
        <v>10</v>
      </c>
      <c r="F3" s="3" t="s">
        <v>11</v>
      </c>
      <c r="G3" s="3" t="s">
        <v>48</v>
      </c>
      <c r="H3" s="3" t="s">
        <v>49</v>
      </c>
      <c r="I3" s="3" t="s">
        <v>12</v>
      </c>
      <c r="J3" s="3" t="s">
        <v>50</v>
      </c>
      <c r="K3" s="3" t="s">
        <v>51</v>
      </c>
      <c r="L3" s="3" t="s">
        <v>16</v>
      </c>
    </row>
    <row r="4" spans="1:12">
      <c r="A4" s="4" t="s">
        <v>17</v>
      </c>
      <c r="B4" s="4" t="s">
        <v>52</v>
      </c>
      <c r="C4" s="23">
        <v>180000</v>
      </c>
      <c r="D4" s="23">
        <v>173595</v>
      </c>
      <c r="E4" s="7">
        <f t="shared" ref="E4:E35" si="0">D4-C4</f>
        <v>-6405</v>
      </c>
      <c r="F4" s="8">
        <f t="shared" ref="F4:F35" si="1">IFERROR(E4/C4,0)</f>
        <v>-3.5583333333333335E-2</v>
      </c>
      <c r="G4" s="10" t="s">
        <v>53</v>
      </c>
      <c r="H4" s="10" t="s">
        <v>54</v>
      </c>
      <c r="I4" s="9">
        <v>1</v>
      </c>
      <c r="J4" s="7">
        <f t="shared" ref="J4:J35" si="2">SUMIFS($D$4:$D$99,$B$4:$B$99,B4,$I$4:$I$99,"&lt;="&amp;I4)</f>
        <v>173595</v>
      </c>
      <c r="K4" s="8">
        <f t="shared" ref="K4:K35" si="3">IFERROR(J4/SUMIFS($C$4:$C$99,$B$4:$B$99,B4),0)</f>
        <v>7.9192053560186784E-2</v>
      </c>
      <c r="L4" s="11"/>
    </row>
    <row r="5" spans="1:12" ht="24">
      <c r="A5" s="1" t="s">
        <v>17</v>
      </c>
      <c r="B5" s="1" t="s">
        <v>55</v>
      </c>
      <c r="C5" s="24">
        <v>150000</v>
      </c>
      <c r="D5" s="24">
        <v>165662</v>
      </c>
      <c r="E5" s="14">
        <f t="shared" si="0"/>
        <v>15662</v>
      </c>
      <c r="F5" s="15">
        <f t="shared" si="1"/>
        <v>0.10441333333333333</v>
      </c>
      <c r="G5" s="16" t="s">
        <v>56</v>
      </c>
      <c r="H5" s="16" t="s">
        <v>57</v>
      </c>
      <c r="I5" s="9">
        <v>1</v>
      </c>
      <c r="J5" s="14">
        <f t="shared" si="2"/>
        <v>165662</v>
      </c>
      <c r="K5" s="15">
        <f t="shared" si="3"/>
        <v>8.4282470566867301E-2</v>
      </c>
      <c r="L5" s="17" t="s">
        <v>58</v>
      </c>
    </row>
    <row r="6" spans="1:12">
      <c r="A6" s="4" t="s">
        <v>17</v>
      </c>
      <c r="B6" s="4" t="s">
        <v>59</v>
      </c>
      <c r="C6" s="23">
        <v>241120</v>
      </c>
      <c r="D6" s="23">
        <v>233149</v>
      </c>
      <c r="E6" s="7">
        <f t="shared" si="0"/>
        <v>-7971</v>
      </c>
      <c r="F6" s="8">
        <f t="shared" si="1"/>
        <v>-3.3058228268082281E-2</v>
      </c>
      <c r="G6" s="10" t="s">
        <v>53</v>
      </c>
      <c r="H6" s="10" t="s">
        <v>60</v>
      </c>
      <c r="I6" s="9">
        <v>1</v>
      </c>
      <c r="J6" s="7">
        <f t="shared" si="2"/>
        <v>233149</v>
      </c>
      <c r="K6" s="8">
        <f t="shared" si="3"/>
        <v>7.4426460499858099E-2</v>
      </c>
      <c r="L6" s="11"/>
    </row>
    <row r="7" spans="1:12">
      <c r="A7" s="1" t="s">
        <v>17</v>
      </c>
      <c r="B7" s="1" t="s">
        <v>61</v>
      </c>
      <c r="C7" s="24">
        <v>95000</v>
      </c>
      <c r="D7" s="24">
        <v>95778</v>
      </c>
      <c r="E7" s="14">
        <f t="shared" si="0"/>
        <v>778</v>
      </c>
      <c r="F7" s="15">
        <f t="shared" si="1"/>
        <v>8.189473684210526E-3</v>
      </c>
      <c r="G7" s="16" t="s">
        <v>62</v>
      </c>
      <c r="H7" s="16" t="s">
        <v>63</v>
      </c>
      <c r="I7" s="9">
        <v>1</v>
      </c>
      <c r="J7" s="14">
        <f t="shared" si="2"/>
        <v>95778</v>
      </c>
      <c r="K7" s="15">
        <f t="shared" si="3"/>
        <v>8.278648282347735E-2</v>
      </c>
      <c r="L7" s="17"/>
    </row>
    <row r="8" spans="1:12">
      <c r="A8" s="4" t="s">
        <v>17</v>
      </c>
      <c r="B8" s="4" t="s">
        <v>64</v>
      </c>
      <c r="C8" s="23">
        <v>60000</v>
      </c>
      <c r="D8" s="23">
        <v>64807</v>
      </c>
      <c r="E8" s="7">
        <f t="shared" si="0"/>
        <v>4807</v>
      </c>
      <c r="F8" s="8">
        <f t="shared" si="1"/>
        <v>8.0116666666666669E-2</v>
      </c>
      <c r="G8" s="10" t="s">
        <v>53</v>
      </c>
      <c r="H8" s="10" t="s">
        <v>65</v>
      </c>
      <c r="I8" s="9">
        <v>1</v>
      </c>
      <c r="J8" s="7">
        <f t="shared" si="2"/>
        <v>64807</v>
      </c>
      <c r="K8" s="8">
        <f t="shared" si="3"/>
        <v>8.869263656917005E-2</v>
      </c>
      <c r="L8" s="11"/>
    </row>
    <row r="9" spans="1:12">
      <c r="A9" s="1" t="s">
        <v>17</v>
      </c>
      <c r="B9" s="1" t="s">
        <v>66</v>
      </c>
      <c r="C9" s="24">
        <v>70000</v>
      </c>
      <c r="D9" s="24">
        <v>72573</v>
      </c>
      <c r="E9" s="14">
        <f t="shared" si="0"/>
        <v>2573</v>
      </c>
      <c r="F9" s="15">
        <f t="shared" si="1"/>
        <v>3.6757142857142856E-2</v>
      </c>
      <c r="G9" s="16" t="s">
        <v>67</v>
      </c>
      <c r="H9" s="16" t="s">
        <v>68</v>
      </c>
      <c r="I9" s="9">
        <v>1</v>
      </c>
      <c r="J9" s="14">
        <f t="shared" si="2"/>
        <v>72573</v>
      </c>
      <c r="K9" s="15">
        <f t="shared" si="3"/>
        <v>8.5132215176064022E-2</v>
      </c>
      <c r="L9" s="17"/>
    </row>
    <row r="10" spans="1:12">
      <c r="A10" s="4" t="s">
        <v>17</v>
      </c>
      <c r="B10" s="4" t="s">
        <v>69</v>
      </c>
      <c r="C10" s="23">
        <v>102000</v>
      </c>
      <c r="D10" s="23">
        <v>108157</v>
      </c>
      <c r="E10" s="7">
        <f t="shared" si="0"/>
        <v>6157</v>
      </c>
      <c r="F10" s="8">
        <f t="shared" si="1"/>
        <v>6.0362745098039218E-2</v>
      </c>
      <c r="G10" s="10" t="s">
        <v>53</v>
      </c>
      <c r="H10" s="10" t="s">
        <v>70</v>
      </c>
      <c r="I10" s="9">
        <v>1</v>
      </c>
      <c r="J10" s="7">
        <f t="shared" si="2"/>
        <v>108157</v>
      </c>
      <c r="K10" s="8">
        <f t="shared" si="3"/>
        <v>9.9490300438501683E-2</v>
      </c>
      <c r="L10" s="11"/>
    </row>
    <row r="11" spans="1:12">
      <c r="A11" s="1" t="s">
        <v>17</v>
      </c>
      <c r="B11" s="1" t="s">
        <v>71</v>
      </c>
      <c r="C11" s="24">
        <v>110000</v>
      </c>
      <c r="D11" s="24">
        <v>107881</v>
      </c>
      <c r="E11" s="14">
        <f t="shared" si="0"/>
        <v>-2119</v>
      </c>
      <c r="F11" s="15">
        <f t="shared" si="1"/>
        <v>-1.9263636363636365E-2</v>
      </c>
      <c r="G11" s="16" t="s">
        <v>53</v>
      </c>
      <c r="H11" s="16" t="s">
        <v>72</v>
      </c>
      <c r="I11" s="9">
        <v>1</v>
      </c>
      <c r="J11" s="14">
        <f t="shared" si="2"/>
        <v>107881</v>
      </c>
      <c r="K11" s="15">
        <f t="shared" si="3"/>
        <v>8.0532128199271122E-2</v>
      </c>
      <c r="L11" s="17"/>
    </row>
    <row r="12" spans="1:12">
      <c r="A12" s="4" t="s">
        <v>29</v>
      </c>
      <c r="B12" s="4" t="s">
        <v>52</v>
      </c>
      <c r="C12" s="23">
        <v>180486</v>
      </c>
      <c r="D12" s="23">
        <v>183849</v>
      </c>
      <c r="E12" s="7">
        <f t="shared" si="0"/>
        <v>3363</v>
      </c>
      <c r="F12" s="8">
        <f t="shared" si="1"/>
        <v>1.8633024168079517E-2</v>
      </c>
      <c r="G12" s="10" t="s">
        <v>53</v>
      </c>
      <c r="H12" s="10" t="s">
        <v>54</v>
      </c>
      <c r="I12" s="9">
        <v>2</v>
      </c>
      <c r="J12" s="7">
        <f t="shared" si="2"/>
        <v>357444</v>
      </c>
      <c r="K12" s="8">
        <f t="shared" si="3"/>
        <v>0.16306186464337916</v>
      </c>
      <c r="L12" s="11"/>
    </row>
    <row r="13" spans="1:12">
      <c r="A13" s="1" t="s">
        <v>29</v>
      </c>
      <c r="B13" s="1" t="s">
        <v>55</v>
      </c>
      <c r="C13" s="24">
        <v>150405</v>
      </c>
      <c r="D13" s="24">
        <v>147097</v>
      </c>
      <c r="E13" s="14">
        <f t="shared" si="0"/>
        <v>-3308</v>
      </c>
      <c r="F13" s="15">
        <f t="shared" si="1"/>
        <v>-2.1993949669226423E-2</v>
      </c>
      <c r="G13" s="16" t="s">
        <v>56</v>
      </c>
      <c r="H13" s="16" t="s">
        <v>57</v>
      </c>
      <c r="I13" s="9">
        <v>2</v>
      </c>
      <c r="J13" s="14">
        <f t="shared" si="2"/>
        <v>312759</v>
      </c>
      <c r="K13" s="15">
        <f t="shared" si="3"/>
        <v>0.15911978131389728</v>
      </c>
      <c r="L13" s="17"/>
    </row>
    <row r="14" spans="1:12">
      <c r="A14" s="4" t="s">
        <v>29</v>
      </c>
      <c r="B14" s="4" t="s">
        <v>59</v>
      </c>
      <c r="C14" s="23">
        <v>243095</v>
      </c>
      <c r="D14" s="23">
        <v>247231</v>
      </c>
      <c r="E14" s="7">
        <f t="shared" si="0"/>
        <v>4136</v>
      </c>
      <c r="F14" s="8">
        <f t="shared" si="1"/>
        <v>1.7013924597379625E-2</v>
      </c>
      <c r="G14" s="10" t="s">
        <v>53</v>
      </c>
      <c r="H14" s="10" t="s">
        <v>60</v>
      </c>
      <c r="I14" s="9">
        <v>2</v>
      </c>
      <c r="J14" s="7">
        <f t="shared" si="2"/>
        <v>480380</v>
      </c>
      <c r="K14" s="8">
        <f t="shared" si="3"/>
        <v>0.15334821549705055</v>
      </c>
      <c r="L14" s="11"/>
    </row>
    <row r="15" spans="1:12">
      <c r="A15" s="1" t="s">
        <v>29</v>
      </c>
      <c r="B15" s="1" t="s">
        <v>61</v>
      </c>
      <c r="C15" s="24">
        <v>95256</v>
      </c>
      <c r="D15" s="24">
        <v>93842</v>
      </c>
      <c r="E15" s="14">
        <f t="shared" si="0"/>
        <v>-1414</v>
      </c>
      <c r="F15" s="15">
        <f t="shared" si="1"/>
        <v>-1.4844209288653733E-2</v>
      </c>
      <c r="G15" s="16" t="s">
        <v>62</v>
      </c>
      <c r="H15" s="16" t="s">
        <v>63</v>
      </c>
      <c r="I15" s="9">
        <v>2</v>
      </c>
      <c r="J15" s="14">
        <f t="shared" si="2"/>
        <v>189620</v>
      </c>
      <c r="K15" s="15">
        <f t="shared" si="3"/>
        <v>0.16389956851247442</v>
      </c>
      <c r="L15" s="17"/>
    </row>
    <row r="16" spans="1:12">
      <c r="A16" s="4" t="s">
        <v>29</v>
      </c>
      <c r="B16" s="4" t="s">
        <v>64</v>
      </c>
      <c r="C16" s="23">
        <v>60162</v>
      </c>
      <c r="D16" s="23">
        <v>57876</v>
      </c>
      <c r="E16" s="7">
        <f t="shared" si="0"/>
        <v>-2286</v>
      </c>
      <c r="F16" s="8">
        <f t="shared" si="1"/>
        <v>-3.7997407001097036E-2</v>
      </c>
      <c r="G16" s="10" t="s">
        <v>53</v>
      </c>
      <c r="H16" s="10" t="s">
        <v>65</v>
      </c>
      <c r="I16" s="9">
        <v>2</v>
      </c>
      <c r="J16" s="7">
        <f t="shared" si="2"/>
        <v>122683</v>
      </c>
      <c r="K16" s="8">
        <f t="shared" si="3"/>
        <v>0.16789974435192939</v>
      </c>
      <c r="L16" s="11"/>
    </row>
    <row r="17" spans="1:12">
      <c r="A17" s="1" t="s">
        <v>29</v>
      </c>
      <c r="B17" s="1" t="s">
        <v>66</v>
      </c>
      <c r="C17" s="24">
        <v>70189</v>
      </c>
      <c r="D17" s="24">
        <v>67881</v>
      </c>
      <c r="E17" s="14">
        <f t="shared" si="0"/>
        <v>-2308</v>
      </c>
      <c r="F17" s="15">
        <f t="shared" si="1"/>
        <v>-3.2882645428770889E-2</v>
      </c>
      <c r="G17" s="16" t="s">
        <v>67</v>
      </c>
      <c r="H17" s="16" t="s">
        <v>68</v>
      </c>
      <c r="I17" s="9">
        <v>2</v>
      </c>
      <c r="J17" s="14">
        <f t="shared" si="2"/>
        <v>140454</v>
      </c>
      <c r="K17" s="15">
        <f t="shared" si="3"/>
        <v>0.16476045017208735</v>
      </c>
      <c r="L17" s="17"/>
    </row>
    <row r="18" spans="1:12">
      <c r="A18" s="4" t="s">
        <v>29</v>
      </c>
      <c r="B18" s="4" t="s">
        <v>69</v>
      </c>
      <c r="C18" s="23">
        <v>85230</v>
      </c>
      <c r="D18" s="23">
        <v>88901</v>
      </c>
      <c r="E18" s="7">
        <f t="shared" si="0"/>
        <v>3671</v>
      </c>
      <c r="F18" s="8">
        <f t="shared" si="1"/>
        <v>4.3071688372638743E-2</v>
      </c>
      <c r="G18" s="10" t="s">
        <v>53</v>
      </c>
      <c r="H18" s="10" t="s">
        <v>70</v>
      </c>
      <c r="I18" s="9">
        <v>2</v>
      </c>
      <c r="J18" s="7">
        <f t="shared" si="2"/>
        <v>197058</v>
      </c>
      <c r="K18" s="8">
        <f t="shared" si="3"/>
        <v>0.18126759824893687</v>
      </c>
      <c r="L18" s="11"/>
    </row>
    <row r="19" spans="1:12" ht="24">
      <c r="A19" s="1" t="s">
        <v>29</v>
      </c>
      <c r="B19" s="1" t="s">
        <v>71</v>
      </c>
      <c r="C19" s="24">
        <v>110297</v>
      </c>
      <c r="D19" s="24">
        <v>122565</v>
      </c>
      <c r="E19" s="14">
        <f t="shared" si="0"/>
        <v>12268</v>
      </c>
      <c r="F19" s="15">
        <f t="shared" si="1"/>
        <v>0.11122695993544703</v>
      </c>
      <c r="G19" s="16" t="s">
        <v>53</v>
      </c>
      <c r="H19" s="16" t="s">
        <v>72</v>
      </c>
      <c r="I19" s="9">
        <v>2</v>
      </c>
      <c r="J19" s="14">
        <f t="shared" si="2"/>
        <v>230446</v>
      </c>
      <c r="K19" s="15">
        <f t="shared" si="3"/>
        <v>0.17202572107237821</v>
      </c>
      <c r="L19" s="17" t="s">
        <v>73</v>
      </c>
    </row>
    <row r="20" spans="1:12">
      <c r="A20" s="4" t="s">
        <v>31</v>
      </c>
      <c r="B20" s="4" t="s">
        <v>52</v>
      </c>
      <c r="C20" s="23">
        <v>180972</v>
      </c>
      <c r="D20" s="23">
        <v>163316</v>
      </c>
      <c r="E20" s="7">
        <f t="shared" si="0"/>
        <v>-17656</v>
      </c>
      <c r="F20" s="8">
        <f t="shared" si="1"/>
        <v>-9.7562053798377651E-2</v>
      </c>
      <c r="G20" s="10" t="s">
        <v>53</v>
      </c>
      <c r="H20" s="10" t="s">
        <v>54</v>
      </c>
      <c r="I20" s="9">
        <v>3</v>
      </c>
      <c r="J20" s="7">
        <f t="shared" si="2"/>
        <v>520760</v>
      </c>
      <c r="K20" s="8">
        <f t="shared" si="3"/>
        <v>0.23756475596649021</v>
      </c>
      <c r="L20" s="11"/>
    </row>
    <row r="21" spans="1:12" ht="24">
      <c r="A21" s="1" t="s">
        <v>31</v>
      </c>
      <c r="B21" s="1" t="s">
        <v>55</v>
      </c>
      <c r="C21" s="24">
        <v>150810</v>
      </c>
      <c r="D21" s="24">
        <v>170044</v>
      </c>
      <c r="E21" s="14">
        <f t="shared" si="0"/>
        <v>19234</v>
      </c>
      <c r="F21" s="15">
        <f t="shared" si="1"/>
        <v>0.12753796167362907</v>
      </c>
      <c r="G21" s="16" t="s">
        <v>56</v>
      </c>
      <c r="H21" s="16" t="s">
        <v>57</v>
      </c>
      <c r="I21" s="9">
        <v>3</v>
      </c>
      <c r="J21" s="14">
        <f t="shared" si="2"/>
        <v>482803</v>
      </c>
      <c r="K21" s="15">
        <f t="shared" si="3"/>
        <v>0.24563164538092763</v>
      </c>
      <c r="L21" s="17" t="s">
        <v>58</v>
      </c>
    </row>
    <row r="22" spans="1:12">
      <c r="A22" s="4" t="s">
        <v>31</v>
      </c>
      <c r="B22" s="4" t="s">
        <v>59</v>
      </c>
      <c r="C22" s="23">
        <v>249721</v>
      </c>
      <c r="D22" s="23">
        <v>239214</v>
      </c>
      <c r="E22" s="7">
        <f t="shared" si="0"/>
        <v>-10507</v>
      </c>
      <c r="F22" s="8">
        <f t="shared" si="1"/>
        <v>-4.2074955650505966E-2</v>
      </c>
      <c r="G22" s="10" t="s">
        <v>53</v>
      </c>
      <c r="H22" s="10" t="s">
        <v>60</v>
      </c>
      <c r="I22" s="9">
        <v>3</v>
      </c>
      <c r="J22" s="7">
        <f t="shared" si="2"/>
        <v>719594</v>
      </c>
      <c r="K22" s="8">
        <f t="shared" si="3"/>
        <v>0.22971076186016193</v>
      </c>
      <c r="L22" s="11"/>
    </row>
    <row r="23" spans="1:12">
      <c r="A23" s="1" t="s">
        <v>31</v>
      </c>
      <c r="B23" s="1" t="s">
        <v>61</v>
      </c>
      <c r="C23" s="24">
        <v>95513</v>
      </c>
      <c r="D23" s="24">
        <v>95278</v>
      </c>
      <c r="E23" s="14">
        <f t="shared" si="0"/>
        <v>-235</v>
      </c>
      <c r="F23" s="15">
        <f t="shared" si="1"/>
        <v>-2.4603980609969323E-3</v>
      </c>
      <c r="G23" s="16" t="s">
        <v>62</v>
      </c>
      <c r="H23" s="16" t="s">
        <v>63</v>
      </c>
      <c r="I23" s="9">
        <v>3</v>
      </c>
      <c r="J23" s="14">
        <f t="shared" si="2"/>
        <v>284898</v>
      </c>
      <c r="K23" s="15">
        <f t="shared" si="3"/>
        <v>0.24625387232394755</v>
      </c>
      <c r="L23" s="17"/>
    </row>
    <row r="24" spans="1:12">
      <c r="A24" s="4" t="s">
        <v>31</v>
      </c>
      <c r="B24" s="4" t="s">
        <v>64</v>
      </c>
      <c r="C24" s="23">
        <v>60324</v>
      </c>
      <c r="D24" s="23">
        <v>62329</v>
      </c>
      <c r="E24" s="7">
        <f t="shared" si="0"/>
        <v>2005</v>
      </c>
      <c r="F24" s="8">
        <f t="shared" si="1"/>
        <v>3.3237185863006433E-2</v>
      </c>
      <c r="G24" s="10" t="s">
        <v>53</v>
      </c>
      <c r="H24" s="10" t="s">
        <v>65</v>
      </c>
      <c r="I24" s="9">
        <v>3</v>
      </c>
      <c r="J24" s="7">
        <f t="shared" si="2"/>
        <v>185012</v>
      </c>
      <c r="K24" s="8">
        <f t="shared" si="3"/>
        <v>0.25320107514520485</v>
      </c>
      <c r="L24" s="11"/>
    </row>
    <row r="25" spans="1:12">
      <c r="A25" s="1" t="s">
        <v>31</v>
      </c>
      <c r="B25" s="1" t="s">
        <v>66</v>
      </c>
      <c r="C25" s="24">
        <v>70378</v>
      </c>
      <c r="D25" s="24">
        <v>67399</v>
      </c>
      <c r="E25" s="14">
        <f t="shared" si="0"/>
        <v>-2979</v>
      </c>
      <c r="F25" s="15">
        <f t="shared" si="1"/>
        <v>-4.2328568586774279E-2</v>
      </c>
      <c r="G25" s="16" t="s">
        <v>67</v>
      </c>
      <c r="H25" s="16" t="s">
        <v>68</v>
      </c>
      <c r="I25" s="9">
        <v>3</v>
      </c>
      <c r="J25" s="14">
        <f t="shared" si="2"/>
        <v>207853</v>
      </c>
      <c r="K25" s="15">
        <f t="shared" si="3"/>
        <v>0.24382327202941087</v>
      </c>
      <c r="L25" s="17"/>
    </row>
    <row r="26" spans="1:12">
      <c r="A26" s="4" t="s">
        <v>31</v>
      </c>
      <c r="B26" s="4" t="s">
        <v>69</v>
      </c>
      <c r="C26" s="23">
        <v>85459</v>
      </c>
      <c r="D26" s="23">
        <v>86678</v>
      </c>
      <c r="E26" s="7">
        <f t="shared" si="0"/>
        <v>1219</v>
      </c>
      <c r="F26" s="8">
        <f t="shared" si="1"/>
        <v>1.4264150060262815E-2</v>
      </c>
      <c r="G26" s="10" t="s">
        <v>53</v>
      </c>
      <c r="H26" s="10" t="s">
        <v>70</v>
      </c>
      <c r="I26" s="9">
        <v>3</v>
      </c>
      <c r="J26" s="7">
        <f t="shared" si="2"/>
        <v>283736</v>
      </c>
      <c r="K26" s="8">
        <f t="shared" si="3"/>
        <v>0.26100002667620875</v>
      </c>
      <c r="L26" s="11"/>
    </row>
    <row r="27" spans="1:12">
      <c r="A27" s="1" t="s">
        <v>31</v>
      </c>
      <c r="B27" s="1" t="s">
        <v>71</v>
      </c>
      <c r="C27" s="24">
        <v>110594</v>
      </c>
      <c r="D27" s="24">
        <v>118429</v>
      </c>
      <c r="E27" s="14">
        <f t="shared" si="0"/>
        <v>7835</v>
      </c>
      <c r="F27" s="15">
        <f t="shared" si="1"/>
        <v>7.0844711286326564E-2</v>
      </c>
      <c r="G27" s="16" t="s">
        <v>53</v>
      </c>
      <c r="H27" s="16" t="s">
        <v>72</v>
      </c>
      <c r="I27" s="9">
        <v>3</v>
      </c>
      <c r="J27" s="14">
        <f t="shared" si="2"/>
        <v>348875</v>
      </c>
      <c r="K27" s="15">
        <f t="shared" si="3"/>
        <v>0.26043182975241902</v>
      </c>
      <c r="L27" s="17"/>
    </row>
    <row r="28" spans="1:12">
      <c r="A28" s="4" t="s">
        <v>34</v>
      </c>
      <c r="B28" s="4" t="s">
        <v>52</v>
      </c>
      <c r="C28" s="23">
        <v>181458</v>
      </c>
      <c r="D28" s="23">
        <v>182830</v>
      </c>
      <c r="E28" s="7">
        <f t="shared" si="0"/>
        <v>1372</v>
      </c>
      <c r="F28" s="8">
        <f t="shared" si="1"/>
        <v>7.5609782980083544E-3</v>
      </c>
      <c r="G28" s="10" t="s">
        <v>53</v>
      </c>
      <c r="H28" s="10" t="s">
        <v>54</v>
      </c>
      <c r="I28" s="9">
        <v>4</v>
      </c>
      <c r="J28" s="7">
        <f t="shared" si="2"/>
        <v>703590</v>
      </c>
      <c r="K28" s="8">
        <f t="shared" si="3"/>
        <v>0.32096971090418397</v>
      </c>
      <c r="L28" s="11"/>
    </row>
    <row r="29" spans="1:12">
      <c r="A29" s="1" t="s">
        <v>34</v>
      </c>
      <c r="B29" s="1" t="s">
        <v>55</v>
      </c>
      <c r="C29" s="24">
        <v>151215</v>
      </c>
      <c r="D29" s="24">
        <v>136719</v>
      </c>
      <c r="E29" s="14">
        <f t="shared" si="0"/>
        <v>-14496</v>
      </c>
      <c r="F29" s="15">
        <f t="shared" si="1"/>
        <v>-9.5863505604602717E-2</v>
      </c>
      <c r="G29" s="16" t="s">
        <v>56</v>
      </c>
      <c r="H29" s="16" t="s">
        <v>57</v>
      </c>
      <c r="I29" s="9">
        <v>4</v>
      </c>
      <c r="J29" s="14">
        <f t="shared" si="2"/>
        <v>619522</v>
      </c>
      <c r="K29" s="15">
        <f t="shared" si="3"/>
        <v>0.31518902784299818</v>
      </c>
      <c r="L29" s="17"/>
    </row>
    <row r="30" spans="1:12">
      <c r="A30" s="4" t="s">
        <v>34</v>
      </c>
      <c r="B30" s="4" t="s">
        <v>59</v>
      </c>
      <c r="C30" s="23">
        <v>253719</v>
      </c>
      <c r="D30" s="23">
        <v>246264</v>
      </c>
      <c r="E30" s="7">
        <f t="shared" si="0"/>
        <v>-7455</v>
      </c>
      <c r="F30" s="8">
        <f t="shared" si="1"/>
        <v>-2.9382899979899024E-2</v>
      </c>
      <c r="G30" s="10" t="s">
        <v>53</v>
      </c>
      <c r="H30" s="10" t="s">
        <v>60</v>
      </c>
      <c r="I30" s="9">
        <v>4</v>
      </c>
      <c r="J30" s="7">
        <f t="shared" si="2"/>
        <v>965858</v>
      </c>
      <c r="K30" s="8">
        <f t="shared" si="3"/>
        <v>0.30832382847651907</v>
      </c>
      <c r="L30" s="11"/>
    </row>
    <row r="31" spans="1:12">
      <c r="A31" s="1" t="s">
        <v>34</v>
      </c>
      <c r="B31" s="1" t="s">
        <v>61</v>
      </c>
      <c r="C31" s="24">
        <v>95770</v>
      </c>
      <c r="D31" s="24">
        <v>95488</v>
      </c>
      <c r="E31" s="14">
        <f t="shared" si="0"/>
        <v>-282</v>
      </c>
      <c r="F31" s="15">
        <f t="shared" si="1"/>
        <v>-2.9445546622115485E-3</v>
      </c>
      <c r="G31" s="16" t="s">
        <v>62</v>
      </c>
      <c r="H31" s="16" t="s">
        <v>63</v>
      </c>
      <c r="I31" s="9">
        <v>4</v>
      </c>
      <c r="J31" s="14">
        <f t="shared" si="2"/>
        <v>380386</v>
      </c>
      <c r="K31" s="15">
        <f t="shared" si="3"/>
        <v>0.32878969132046248</v>
      </c>
      <c r="L31" s="17"/>
    </row>
    <row r="32" spans="1:12">
      <c r="A32" s="4" t="s">
        <v>34</v>
      </c>
      <c r="B32" s="4" t="s">
        <v>64</v>
      </c>
      <c r="C32" s="23">
        <v>60486</v>
      </c>
      <c r="D32" s="23">
        <v>57969</v>
      </c>
      <c r="E32" s="7">
        <f t="shared" si="0"/>
        <v>-2517</v>
      </c>
      <c r="F32" s="8">
        <f t="shared" si="1"/>
        <v>-4.1612935224680091E-2</v>
      </c>
      <c r="G32" s="10" t="s">
        <v>53</v>
      </c>
      <c r="H32" s="10" t="s">
        <v>65</v>
      </c>
      <c r="I32" s="9">
        <v>4</v>
      </c>
      <c r="J32" s="7">
        <f t="shared" si="2"/>
        <v>242981</v>
      </c>
      <c r="K32" s="8">
        <f t="shared" si="3"/>
        <v>0.33253545953698688</v>
      </c>
      <c r="L32" s="11"/>
    </row>
    <row r="33" spans="1:12">
      <c r="A33" s="1" t="s">
        <v>34</v>
      </c>
      <c r="B33" s="1" t="s">
        <v>66</v>
      </c>
      <c r="C33" s="24">
        <v>70567</v>
      </c>
      <c r="D33" s="24">
        <v>74755</v>
      </c>
      <c r="E33" s="14">
        <f t="shared" si="0"/>
        <v>4188</v>
      </c>
      <c r="F33" s="15">
        <f t="shared" si="1"/>
        <v>5.9347853812688652E-2</v>
      </c>
      <c r="G33" s="16" t="s">
        <v>67</v>
      </c>
      <c r="H33" s="16" t="s">
        <v>68</v>
      </c>
      <c r="I33" s="9">
        <v>4</v>
      </c>
      <c r="J33" s="14">
        <f t="shared" si="2"/>
        <v>282608</v>
      </c>
      <c r="K33" s="15">
        <f t="shared" si="3"/>
        <v>0.33151509606158075</v>
      </c>
      <c r="L33" s="17"/>
    </row>
    <row r="34" spans="1:12">
      <c r="A34" s="4" t="s">
        <v>34</v>
      </c>
      <c r="B34" s="4" t="s">
        <v>69</v>
      </c>
      <c r="C34" s="23">
        <v>85688</v>
      </c>
      <c r="D34" s="23">
        <v>84708</v>
      </c>
      <c r="E34" s="7">
        <f t="shared" si="0"/>
        <v>-980</v>
      </c>
      <c r="F34" s="8">
        <f t="shared" si="1"/>
        <v>-1.1436840631126878E-2</v>
      </c>
      <c r="G34" s="10" t="s">
        <v>53</v>
      </c>
      <c r="H34" s="10" t="s">
        <v>70</v>
      </c>
      <c r="I34" s="9">
        <v>4</v>
      </c>
      <c r="J34" s="7">
        <f t="shared" si="2"/>
        <v>368444</v>
      </c>
      <c r="K34" s="8">
        <f t="shared" si="3"/>
        <v>0.33892031264516687</v>
      </c>
      <c r="L34" s="11"/>
    </row>
    <row r="35" spans="1:12">
      <c r="A35" s="1" t="s">
        <v>34</v>
      </c>
      <c r="B35" s="1" t="s">
        <v>71</v>
      </c>
      <c r="C35" s="24">
        <v>110891</v>
      </c>
      <c r="D35" s="24">
        <v>114532</v>
      </c>
      <c r="E35" s="14">
        <f t="shared" si="0"/>
        <v>3641</v>
      </c>
      <c r="F35" s="15">
        <f t="shared" si="1"/>
        <v>3.2834044241642692E-2</v>
      </c>
      <c r="G35" s="16" t="s">
        <v>53</v>
      </c>
      <c r="H35" s="16" t="s">
        <v>72</v>
      </c>
      <c r="I35" s="9">
        <v>4</v>
      </c>
      <c r="J35" s="14">
        <f t="shared" si="2"/>
        <v>463407</v>
      </c>
      <c r="K35" s="15">
        <f t="shared" si="3"/>
        <v>0.34592886543913787</v>
      </c>
      <c r="L35" s="17"/>
    </row>
    <row r="36" spans="1:12">
      <c r="A36" s="4" t="s">
        <v>35</v>
      </c>
      <c r="B36" s="4" t="s">
        <v>52</v>
      </c>
      <c r="C36" s="23">
        <v>181944</v>
      </c>
      <c r="D36" s="23">
        <v>178760</v>
      </c>
      <c r="E36" s="7">
        <f t="shared" ref="E36:E67" si="4">D36-C36</f>
        <v>-3184</v>
      </c>
      <c r="F36" s="8">
        <f t="shared" ref="F36:F67" si="5">IFERROR(E36/C36,0)</f>
        <v>-1.7499890076067361E-2</v>
      </c>
      <c r="G36" s="10" t="s">
        <v>53</v>
      </c>
      <c r="H36" s="10" t="s">
        <v>54</v>
      </c>
      <c r="I36" s="9">
        <v>5</v>
      </c>
      <c r="J36" s="7">
        <f t="shared" ref="J36:J67" si="6">SUMIFS($D$4:$D$99,$B$4:$B$99,B36,$I$4:$I$99,"&lt;="&amp;I36)</f>
        <v>882350</v>
      </c>
      <c r="K36" s="8">
        <f t="shared" ref="K36:K67" si="7">IFERROR(J36/SUMIFS($C$4:$C$99,$B$4:$B$99,B36),0)</f>
        <v>0.40251797839126013</v>
      </c>
      <c r="L36" s="11"/>
    </row>
    <row r="37" spans="1:12" ht="24">
      <c r="A37" s="1" t="s">
        <v>35</v>
      </c>
      <c r="B37" s="1" t="s">
        <v>55</v>
      </c>
      <c r="C37" s="24">
        <v>151620</v>
      </c>
      <c r="D37" s="24">
        <v>172724</v>
      </c>
      <c r="E37" s="14">
        <f t="shared" si="4"/>
        <v>21104</v>
      </c>
      <c r="F37" s="15">
        <f t="shared" si="5"/>
        <v>0.13919008046431869</v>
      </c>
      <c r="G37" s="16" t="s">
        <v>56</v>
      </c>
      <c r="H37" s="16" t="s">
        <v>57</v>
      </c>
      <c r="I37" s="9">
        <v>5</v>
      </c>
      <c r="J37" s="14">
        <f t="shared" si="6"/>
        <v>792246</v>
      </c>
      <c r="K37" s="15">
        <f t="shared" si="7"/>
        <v>0.40306437310136517</v>
      </c>
      <c r="L37" s="17" t="s">
        <v>73</v>
      </c>
    </row>
    <row r="38" spans="1:12">
      <c r="A38" s="4" t="s">
        <v>35</v>
      </c>
      <c r="B38" s="4" t="s">
        <v>59</v>
      </c>
      <c r="C38" s="23">
        <v>255732</v>
      </c>
      <c r="D38" s="23">
        <v>250461</v>
      </c>
      <c r="E38" s="7">
        <f t="shared" si="4"/>
        <v>-5271</v>
      </c>
      <c r="F38" s="8">
        <f t="shared" si="5"/>
        <v>-2.0611421331706629E-2</v>
      </c>
      <c r="G38" s="10" t="s">
        <v>53</v>
      </c>
      <c r="H38" s="10" t="s">
        <v>60</v>
      </c>
      <c r="I38" s="9">
        <v>5</v>
      </c>
      <c r="J38" s="7">
        <f t="shared" si="6"/>
        <v>1216319</v>
      </c>
      <c r="K38" s="8">
        <f t="shared" si="7"/>
        <v>0.38827667289470214</v>
      </c>
      <c r="L38" s="11"/>
    </row>
    <row r="39" spans="1:12">
      <c r="A39" s="1" t="s">
        <v>35</v>
      </c>
      <c r="B39" s="1" t="s">
        <v>61</v>
      </c>
      <c r="C39" s="24">
        <v>96026</v>
      </c>
      <c r="D39" s="24">
        <v>102622</v>
      </c>
      <c r="E39" s="14">
        <f t="shared" si="4"/>
        <v>6596</v>
      </c>
      <c r="F39" s="15">
        <f t="shared" si="5"/>
        <v>6.8689729864828269E-2</v>
      </c>
      <c r="G39" s="16" t="s">
        <v>62</v>
      </c>
      <c r="H39" s="16" t="s">
        <v>63</v>
      </c>
      <c r="I39" s="9">
        <v>5</v>
      </c>
      <c r="J39" s="14">
        <f t="shared" si="6"/>
        <v>483008</v>
      </c>
      <c r="K39" s="15">
        <f t="shared" si="7"/>
        <v>0.41749184046025334</v>
      </c>
      <c r="L39" s="17"/>
    </row>
    <row r="40" spans="1:12">
      <c r="A40" s="4" t="s">
        <v>35</v>
      </c>
      <c r="B40" s="4" t="s">
        <v>64</v>
      </c>
      <c r="C40" s="23">
        <v>60648</v>
      </c>
      <c r="D40" s="23">
        <v>58527</v>
      </c>
      <c r="E40" s="7">
        <f t="shared" si="4"/>
        <v>-2121</v>
      </c>
      <c r="F40" s="8">
        <f t="shared" si="5"/>
        <v>-3.4972299168975068E-2</v>
      </c>
      <c r="G40" s="10" t="s">
        <v>53</v>
      </c>
      <c r="H40" s="10" t="s">
        <v>65</v>
      </c>
      <c r="I40" s="9">
        <v>5</v>
      </c>
      <c r="J40" s="7">
        <f t="shared" si="6"/>
        <v>301508</v>
      </c>
      <c r="K40" s="8">
        <f t="shared" si="7"/>
        <v>0.41263350358290496</v>
      </c>
      <c r="L40" s="11"/>
    </row>
    <row r="41" spans="1:12">
      <c r="A41" s="1" t="s">
        <v>35</v>
      </c>
      <c r="B41" s="1" t="s">
        <v>66</v>
      </c>
      <c r="C41" s="24">
        <v>70756</v>
      </c>
      <c r="D41" s="24">
        <v>67950</v>
      </c>
      <c r="E41" s="14">
        <f t="shared" si="4"/>
        <v>-2806</v>
      </c>
      <c r="F41" s="15">
        <f t="shared" si="5"/>
        <v>-3.9657414212222283E-2</v>
      </c>
      <c r="G41" s="16" t="s">
        <v>67</v>
      </c>
      <c r="H41" s="16" t="s">
        <v>68</v>
      </c>
      <c r="I41" s="9">
        <v>5</v>
      </c>
      <c r="J41" s="14">
        <f t="shared" si="6"/>
        <v>350558</v>
      </c>
      <c r="K41" s="15">
        <f t="shared" si="7"/>
        <v>0.41122427194260469</v>
      </c>
      <c r="L41" s="17"/>
    </row>
    <row r="42" spans="1:12">
      <c r="A42" s="4" t="s">
        <v>35</v>
      </c>
      <c r="B42" s="4" t="s">
        <v>69</v>
      </c>
      <c r="C42" s="23">
        <v>85918</v>
      </c>
      <c r="D42" s="23">
        <v>79814</v>
      </c>
      <c r="E42" s="7">
        <f t="shared" si="4"/>
        <v>-6104</v>
      </c>
      <c r="F42" s="8">
        <f t="shared" si="5"/>
        <v>-7.1044484275704742E-2</v>
      </c>
      <c r="G42" s="10" t="s">
        <v>53</v>
      </c>
      <c r="H42" s="10" t="s">
        <v>70</v>
      </c>
      <c r="I42" s="9">
        <v>5</v>
      </c>
      <c r="J42" s="7">
        <f t="shared" si="6"/>
        <v>448258</v>
      </c>
      <c r="K42" s="8">
        <f t="shared" si="7"/>
        <v>0.41233875841565398</v>
      </c>
      <c r="L42" s="11"/>
    </row>
    <row r="43" spans="1:12">
      <c r="A43" s="1" t="s">
        <v>35</v>
      </c>
      <c r="B43" s="1" t="s">
        <v>71</v>
      </c>
      <c r="C43" s="24">
        <v>111188</v>
      </c>
      <c r="D43" s="24">
        <v>105208</v>
      </c>
      <c r="E43" s="14">
        <f t="shared" si="4"/>
        <v>-5980</v>
      </c>
      <c r="F43" s="15">
        <f t="shared" si="5"/>
        <v>-5.3782782314638268E-2</v>
      </c>
      <c r="G43" s="16" t="s">
        <v>53</v>
      </c>
      <c r="H43" s="16" t="s">
        <v>72</v>
      </c>
      <c r="I43" s="9">
        <v>5</v>
      </c>
      <c r="J43" s="14">
        <f t="shared" si="6"/>
        <v>568615</v>
      </c>
      <c r="K43" s="15">
        <f t="shared" si="7"/>
        <v>0.42446562486469863</v>
      </c>
      <c r="L43" s="17"/>
    </row>
    <row r="44" spans="1:12">
      <c r="A44" s="4" t="s">
        <v>36</v>
      </c>
      <c r="B44" s="4" t="s">
        <v>52</v>
      </c>
      <c r="C44" s="23">
        <v>182430</v>
      </c>
      <c r="D44" s="23">
        <v>169421</v>
      </c>
      <c r="E44" s="7">
        <f t="shared" si="4"/>
        <v>-13009</v>
      </c>
      <c r="F44" s="8">
        <f t="shared" si="5"/>
        <v>-7.1309543386504415E-2</v>
      </c>
      <c r="G44" s="10" t="s">
        <v>53</v>
      </c>
      <c r="H44" s="10" t="s">
        <v>54</v>
      </c>
      <c r="I44" s="9">
        <v>6</v>
      </c>
      <c r="J44" s="7">
        <f t="shared" si="6"/>
        <v>1051771</v>
      </c>
      <c r="K44" s="8">
        <f t="shared" si="7"/>
        <v>0.47980590089029762</v>
      </c>
      <c r="L44" s="11"/>
    </row>
    <row r="45" spans="1:12">
      <c r="A45" s="1" t="s">
        <v>36</v>
      </c>
      <c r="B45" s="1" t="s">
        <v>55</v>
      </c>
      <c r="C45" s="24">
        <v>152025</v>
      </c>
      <c r="D45" s="24">
        <v>156374</v>
      </c>
      <c r="E45" s="14">
        <f t="shared" si="4"/>
        <v>4349</v>
      </c>
      <c r="F45" s="15">
        <f t="shared" si="5"/>
        <v>2.8607136984048678E-2</v>
      </c>
      <c r="G45" s="16" t="s">
        <v>56</v>
      </c>
      <c r="H45" s="16" t="s">
        <v>57</v>
      </c>
      <c r="I45" s="9">
        <v>6</v>
      </c>
      <c r="J45" s="14">
        <f t="shared" si="6"/>
        <v>948620</v>
      </c>
      <c r="K45" s="15">
        <f t="shared" si="7"/>
        <v>0.48262146556930174</v>
      </c>
      <c r="L45" s="17"/>
    </row>
    <row r="46" spans="1:12">
      <c r="A46" s="4" t="s">
        <v>36</v>
      </c>
      <c r="B46" s="4" t="s">
        <v>59</v>
      </c>
      <c r="C46" s="23">
        <v>259760</v>
      </c>
      <c r="D46" s="23">
        <v>281301</v>
      </c>
      <c r="E46" s="7">
        <f t="shared" si="4"/>
        <v>21541</v>
      </c>
      <c r="F46" s="8">
        <f t="shared" si="5"/>
        <v>8.2926547582383742E-2</v>
      </c>
      <c r="G46" s="10" t="s">
        <v>53</v>
      </c>
      <c r="H46" s="10" t="s">
        <v>60</v>
      </c>
      <c r="I46" s="9">
        <v>6</v>
      </c>
      <c r="J46" s="7">
        <f t="shared" si="6"/>
        <v>1497620</v>
      </c>
      <c r="K46" s="8">
        <f t="shared" si="7"/>
        <v>0.47807434633559437</v>
      </c>
      <c r="L46" s="11"/>
    </row>
    <row r="47" spans="1:12">
      <c r="A47" s="1" t="s">
        <v>36</v>
      </c>
      <c r="B47" s="1" t="s">
        <v>61</v>
      </c>
      <c r="C47" s="24">
        <v>96282</v>
      </c>
      <c r="D47" s="24">
        <v>90932</v>
      </c>
      <c r="E47" s="14">
        <f t="shared" si="4"/>
        <v>-5350</v>
      </c>
      <c r="F47" s="15">
        <f t="shared" si="5"/>
        <v>-5.5565941712885064E-2</v>
      </c>
      <c r="G47" s="16" t="s">
        <v>62</v>
      </c>
      <c r="H47" s="16" t="s">
        <v>63</v>
      </c>
      <c r="I47" s="9">
        <v>6</v>
      </c>
      <c r="J47" s="14">
        <f t="shared" si="6"/>
        <v>573940</v>
      </c>
      <c r="K47" s="15">
        <f t="shared" si="7"/>
        <v>0.49608964429938596</v>
      </c>
      <c r="L47" s="17"/>
    </row>
    <row r="48" spans="1:12">
      <c r="A48" s="4" t="s">
        <v>36</v>
      </c>
      <c r="B48" s="4" t="s">
        <v>64</v>
      </c>
      <c r="C48" s="23">
        <v>60810</v>
      </c>
      <c r="D48" s="23">
        <v>57887</v>
      </c>
      <c r="E48" s="7">
        <f t="shared" si="4"/>
        <v>-2923</v>
      </c>
      <c r="F48" s="8">
        <f t="shared" si="5"/>
        <v>-4.8067752014471304E-2</v>
      </c>
      <c r="G48" s="10" t="s">
        <v>53</v>
      </c>
      <c r="H48" s="10" t="s">
        <v>65</v>
      </c>
      <c r="I48" s="9">
        <v>6</v>
      </c>
      <c r="J48" s="7">
        <f t="shared" si="6"/>
        <v>359395</v>
      </c>
      <c r="K48" s="8">
        <f t="shared" si="7"/>
        <v>0.4918556655882369</v>
      </c>
      <c r="L48" s="11"/>
    </row>
    <row r="49" spans="1:12">
      <c r="A49" s="1" t="s">
        <v>36</v>
      </c>
      <c r="B49" s="1" t="s">
        <v>66</v>
      </c>
      <c r="C49" s="24">
        <v>70945</v>
      </c>
      <c r="D49" s="24">
        <v>72095</v>
      </c>
      <c r="E49" s="14">
        <f t="shared" si="4"/>
        <v>1150</v>
      </c>
      <c r="F49" s="15">
        <f t="shared" si="5"/>
        <v>1.6209739939389668E-2</v>
      </c>
      <c r="G49" s="16" t="s">
        <v>67</v>
      </c>
      <c r="H49" s="16" t="s">
        <v>68</v>
      </c>
      <c r="I49" s="9">
        <v>6</v>
      </c>
      <c r="J49" s="14">
        <f t="shared" si="6"/>
        <v>422653</v>
      </c>
      <c r="K49" s="15">
        <f t="shared" si="7"/>
        <v>0.49579576620518634</v>
      </c>
      <c r="L49" s="17"/>
    </row>
    <row r="50" spans="1:12">
      <c r="A50" s="4" t="s">
        <v>36</v>
      </c>
      <c r="B50" s="4" t="s">
        <v>69</v>
      </c>
      <c r="C50" s="23">
        <v>86148</v>
      </c>
      <c r="D50" s="23">
        <v>92514</v>
      </c>
      <c r="E50" s="7">
        <f t="shared" si="4"/>
        <v>6366</v>
      </c>
      <c r="F50" s="8">
        <f t="shared" si="5"/>
        <v>7.3896085805822534E-2</v>
      </c>
      <c r="G50" s="10" t="s">
        <v>53</v>
      </c>
      <c r="H50" s="10" t="s">
        <v>70</v>
      </c>
      <c r="I50" s="9">
        <v>6</v>
      </c>
      <c r="J50" s="7">
        <f t="shared" si="6"/>
        <v>540772</v>
      </c>
      <c r="K50" s="8">
        <f t="shared" si="7"/>
        <v>0.49743954389202205</v>
      </c>
      <c r="L50" s="11"/>
    </row>
    <row r="51" spans="1:12" ht="24">
      <c r="A51" s="1" t="s">
        <v>36</v>
      </c>
      <c r="B51" s="1" t="s">
        <v>71</v>
      </c>
      <c r="C51" s="24">
        <v>111485</v>
      </c>
      <c r="D51" s="24">
        <v>126467</v>
      </c>
      <c r="E51" s="14">
        <f t="shared" si="4"/>
        <v>14982</v>
      </c>
      <c r="F51" s="15">
        <f t="shared" si="5"/>
        <v>0.13438579181055749</v>
      </c>
      <c r="G51" s="16" t="s">
        <v>53</v>
      </c>
      <c r="H51" s="16" t="s">
        <v>72</v>
      </c>
      <c r="I51" s="9">
        <v>6</v>
      </c>
      <c r="J51" s="14">
        <f t="shared" si="6"/>
        <v>695082</v>
      </c>
      <c r="K51" s="15">
        <f t="shared" si="7"/>
        <v>0.51887202318300507</v>
      </c>
      <c r="L51" s="17" t="s">
        <v>73</v>
      </c>
    </row>
    <row r="52" spans="1:12">
      <c r="A52" s="4" t="s">
        <v>37</v>
      </c>
      <c r="B52" s="4" t="s">
        <v>52</v>
      </c>
      <c r="C52" s="23">
        <v>182916</v>
      </c>
      <c r="D52" s="23">
        <v>190823</v>
      </c>
      <c r="E52" s="7">
        <f t="shared" si="4"/>
        <v>7907</v>
      </c>
      <c r="F52" s="8">
        <f t="shared" si="5"/>
        <v>4.3227492400883465E-2</v>
      </c>
      <c r="G52" s="10" t="s">
        <v>53</v>
      </c>
      <c r="H52" s="10" t="s">
        <v>54</v>
      </c>
      <c r="I52" s="9">
        <v>7</v>
      </c>
      <c r="J52" s="7">
        <f t="shared" si="6"/>
        <v>1242594</v>
      </c>
      <c r="K52" s="8">
        <f t="shared" si="7"/>
        <v>0.56685717101049415</v>
      </c>
      <c r="L52" s="11"/>
    </row>
    <row r="53" spans="1:12" ht="24">
      <c r="A53" s="1" t="s">
        <v>37</v>
      </c>
      <c r="B53" s="1" t="s">
        <v>55</v>
      </c>
      <c r="C53" s="24">
        <v>152430</v>
      </c>
      <c r="D53" s="24">
        <v>173057</v>
      </c>
      <c r="E53" s="14">
        <f t="shared" si="4"/>
        <v>20627</v>
      </c>
      <c r="F53" s="15">
        <f t="shared" si="5"/>
        <v>0.13532113101095586</v>
      </c>
      <c r="G53" s="16" t="s">
        <v>56</v>
      </c>
      <c r="H53" s="16" t="s">
        <v>57</v>
      </c>
      <c r="I53" s="9">
        <v>7</v>
      </c>
      <c r="J53" s="14">
        <f t="shared" si="6"/>
        <v>1121677</v>
      </c>
      <c r="K53" s="15">
        <f t="shared" si="7"/>
        <v>0.57066622845330861</v>
      </c>
      <c r="L53" s="17" t="s">
        <v>58</v>
      </c>
    </row>
    <row r="54" spans="1:12">
      <c r="A54" s="4" t="s">
        <v>37</v>
      </c>
      <c r="B54" s="4" t="s">
        <v>59</v>
      </c>
      <c r="C54" s="23">
        <v>258440</v>
      </c>
      <c r="D54" s="23">
        <v>250971</v>
      </c>
      <c r="E54" s="7">
        <f t="shared" si="4"/>
        <v>-7469</v>
      </c>
      <c r="F54" s="8">
        <f t="shared" si="5"/>
        <v>-2.8900325027085592E-2</v>
      </c>
      <c r="G54" s="10" t="s">
        <v>53</v>
      </c>
      <c r="H54" s="10" t="s">
        <v>60</v>
      </c>
      <c r="I54" s="9">
        <v>7</v>
      </c>
      <c r="J54" s="7">
        <f t="shared" si="6"/>
        <v>1748591</v>
      </c>
      <c r="K54" s="8">
        <f t="shared" si="7"/>
        <v>0.55818999434656547</v>
      </c>
      <c r="L54" s="11"/>
    </row>
    <row r="55" spans="1:12">
      <c r="A55" s="1" t="s">
        <v>37</v>
      </c>
      <c r="B55" s="1" t="s">
        <v>61</v>
      </c>
      <c r="C55" s="24">
        <v>96539</v>
      </c>
      <c r="D55" s="24">
        <v>95246</v>
      </c>
      <c r="E55" s="14">
        <f t="shared" si="4"/>
        <v>-1293</v>
      </c>
      <c r="F55" s="15">
        <f t="shared" si="5"/>
        <v>-1.3393550792943784E-2</v>
      </c>
      <c r="G55" s="16" t="s">
        <v>62</v>
      </c>
      <c r="H55" s="16" t="s">
        <v>63</v>
      </c>
      <c r="I55" s="9">
        <v>7</v>
      </c>
      <c r="J55" s="14">
        <f t="shared" si="6"/>
        <v>669186</v>
      </c>
      <c r="K55" s="15">
        <f t="shared" si="7"/>
        <v>0.57841628865409078</v>
      </c>
      <c r="L55" s="17"/>
    </row>
    <row r="56" spans="1:12">
      <c r="A56" s="4" t="s">
        <v>37</v>
      </c>
      <c r="B56" s="4" t="s">
        <v>64</v>
      </c>
      <c r="C56" s="23">
        <v>60972</v>
      </c>
      <c r="D56" s="23">
        <v>59298</v>
      </c>
      <c r="E56" s="7">
        <f t="shared" si="4"/>
        <v>-1674</v>
      </c>
      <c r="F56" s="8">
        <f t="shared" si="5"/>
        <v>-2.7455225349340681E-2</v>
      </c>
      <c r="G56" s="10" t="s">
        <v>53</v>
      </c>
      <c r="H56" s="10" t="s">
        <v>65</v>
      </c>
      <c r="I56" s="9">
        <v>7</v>
      </c>
      <c r="J56" s="7">
        <f t="shared" si="6"/>
        <v>418693</v>
      </c>
      <c r="K56" s="8">
        <f t="shared" si="7"/>
        <v>0.57300887377992371</v>
      </c>
      <c r="L56" s="11"/>
    </row>
    <row r="57" spans="1:12">
      <c r="A57" s="1" t="s">
        <v>37</v>
      </c>
      <c r="B57" s="1" t="s">
        <v>66</v>
      </c>
      <c r="C57" s="24">
        <v>71134</v>
      </c>
      <c r="D57" s="24">
        <v>76108</v>
      </c>
      <c r="E57" s="14">
        <f t="shared" si="4"/>
        <v>4974</v>
      </c>
      <c r="F57" s="15">
        <f t="shared" si="5"/>
        <v>6.9924368094019737E-2</v>
      </c>
      <c r="G57" s="16" t="s">
        <v>67</v>
      </c>
      <c r="H57" s="16" t="s">
        <v>68</v>
      </c>
      <c r="I57" s="9">
        <v>7</v>
      </c>
      <c r="J57" s="14">
        <f t="shared" si="6"/>
        <v>498761</v>
      </c>
      <c r="K57" s="15">
        <f t="shared" si="7"/>
        <v>0.5850747354171506</v>
      </c>
      <c r="L57" s="17"/>
    </row>
    <row r="58" spans="1:12">
      <c r="A58" s="4" t="s">
        <v>37</v>
      </c>
      <c r="B58" s="4" t="s">
        <v>69</v>
      </c>
      <c r="C58" s="23">
        <v>86377</v>
      </c>
      <c r="D58" s="23">
        <v>80363</v>
      </c>
      <c r="E58" s="7">
        <f t="shared" si="4"/>
        <v>-6014</v>
      </c>
      <c r="F58" s="8">
        <f t="shared" si="5"/>
        <v>-6.9625015918589439E-2</v>
      </c>
      <c r="G58" s="10" t="s">
        <v>53</v>
      </c>
      <c r="H58" s="10" t="s">
        <v>70</v>
      </c>
      <c r="I58" s="9">
        <v>7</v>
      </c>
      <c r="J58" s="7">
        <f t="shared" si="6"/>
        <v>621135</v>
      </c>
      <c r="K58" s="8">
        <f t="shared" si="7"/>
        <v>0.57136299789073974</v>
      </c>
      <c r="L58" s="11"/>
    </row>
    <row r="59" spans="1:12">
      <c r="A59" s="1" t="s">
        <v>37</v>
      </c>
      <c r="B59" s="1" t="s">
        <v>71</v>
      </c>
      <c r="C59" s="24">
        <v>111782</v>
      </c>
      <c r="D59" s="24">
        <v>101825</v>
      </c>
      <c r="E59" s="14">
        <f t="shared" si="4"/>
        <v>-9957</v>
      </c>
      <c r="F59" s="15">
        <f t="shared" si="5"/>
        <v>-8.9075164158809117E-2</v>
      </c>
      <c r="G59" s="16" t="s">
        <v>53</v>
      </c>
      <c r="H59" s="16" t="s">
        <v>72</v>
      </c>
      <c r="I59" s="9">
        <v>7</v>
      </c>
      <c r="J59" s="14">
        <f t="shared" si="6"/>
        <v>796907</v>
      </c>
      <c r="K59" s="15">
        <f t="shared" si="7"/>
        <v>0.59488340566825071</v>
      </c>
      <c r="L59" s="17"/>
    </row>
    <row r="60" spans="1:12">
      <c r="A60" s="4" t="s">
        <v>38</v>
      </c>
      <c r="B60" s="4" t="s">
        <v>52</v>
      </c>
      <c r="C60" s="23">
        <v>183402</v>
      </c>
      <c r="D60" s="23">
        <v>167462</v>
      </c>
      <c r="E60" s="7">
        <f t="shared" si="4"/>
        <v>-15940</v>
      </c>
      <c r="F60" s="8">
        <f t="shared" si="5"/>
        <v>-8.6912901713176519E-2</v>
      </c>
      <c r="G60" s="10" t="s">
        <v>53</v>
      </c>
      <c r="H60" s="10" t="s">
        <v>54</v>
      </c>
      <c r="I60" s="9">
        <v>8</v>
      </c>
      <c r="J60" s="7">
        <f t="shared" si="6"/>
        <v>1410056</v>
      </c>
      <c r="K60" s="8">
        <f t="shared" si="7"/>
        <v>0.64325142011499603</v>
      </c>
      <c r="L60" s="11"/>
    </row>
    <row r="61" spans="1:12">
      <c r="A61" s="1" t="s">
        <v>38</v>
      </c>
      <c r="B61" s="1" t="s">
        <v>55</v>
      </c>
      <c r="C61" s="24">
        <v>152835</v>
      </c>
      <c r="D61" s="24">
        <v>148267</v>
      </c>
      <c r="E61" s="14">
        <f t="shared" si="4"/>
        <v>-4568</v>
      </c>
      <c r="F61" s="15">
        <f t="shared" si="5"/>
        <v>-2.9888441783622863E-2</v>
      </c>
      <c r="G61" s="16" t="s">
        <v>56</v>
      </c>
      <c r="H61" s="16" t="s">
        <v>57</v>
      </c>
      <c r="I61" s="9">
        <v>8</v>
      </c>
      <c r="J61" s="14">
        <f t="shared" si="6"/>
        <v>1269944</v>
      </c>
      <c r="K61" s="15">
        <f t="shared" si="7"/>
        <v>0.64609879031745199</v>
      </c>
      <c r="L61" s="17"/>
    </row>
    <row r="62" spans="1:12" ht="24">
      <c r="A62" s="4" t="s">
        <v>38</v>
      </c>
      <c r="B62" s="4" t="s">
        <v>59</v>
      </c>
      <c r="C62" s="23">
        <v>261817</v>
      </c>
      <c r="D62" s="23">
        <v>294958</v>
      </c>
      <c r="E62" s="7">
        <f t="shared" si="4"/>
        <v>33141</v>
      </c>
      <c r="F62" s="8">
        <f t="shared" si="5"/>
        <v>0.12658077970490839</v>
      </c>
      <c r="G62" s="10" t="s">
        <v>53</v>
      </c>
      <c r="H62" s="10" t="s">
        <v>60</v>
      </c>
      <c r="I62" s="9">
        <v>8</v>
      </c>
      <c r="J62" s="7">
        <f t="shared" si="6"/>
        <v>2043549</v>
      </c>
      <c r="K62" s="8">
        <f t="shared" si="7"/>
        <v>0.65234729262413538</v>
      </c>
      <c r="L62" s="11" t="s">
        <v>73</v>
      </c>
    </row>
    <row r="63" spans="1:12" ht="24">
      <c r="A63" s="1" t="s">
        <v>38</v>
      </c>
      <c r="B63" s="1" t="s">
        <v>61</v>
      </c>
      <c r="C63" s="24">
        <v>96795</v>
      </c>
      <c r="D63" s="24">
        <v>107291</v>
      </c>
      <c r="E63" s="14">
        <f t="shared" si="4"/>
        <v>10496</v>
      </c>
      <c r="F63" s="15">
        <f t="shared" si="5"/>
        <v>0.10843535306575752</v>
      </c>
      <c r="G63" s="16" t="s">
        <v>62</v>
      </c>
      <c r="H63" s="16" t="s">
        <v>63</v>
      </c>
      <c r="I63" s="9">
        <v>8</v>
      </c>
      <c r="J63" s="14">
        <f t="shared" si="6"/>
        <v>776477</v>
      </c>
      <c r="K63" s="15">
        <f t="shared" si="7"/>
        <v>0.67115412540797703</v>
      </c>
      <c r="L63" s="17" t="s">
        <v>74</v>
      </c>
    </row>
    <row r="64" spans="1:12">
      <c r="A64" s="4" t="s">
        <v>38</v>
      </c>
      <c r="B64" s="4" t="s">
        <v>64</v>
      </c>
      <c r="C64" s="23">
        <v>61134</v>
      </c>
      <c r="D64" s="23">
        <v>56526</v>
      </c>
      <c r="E64" s="7">
        <f t="shared" si="4"/>
        <v>-4608</v>
      </c>
      <c r="F64" s="8">
        <f t="shared" si="5"/>
        <v>-7.5375404848365885E-2</v>
      </c>
      <c r="G64" s="10" t="s">
        <v>53</v>
      </c>
      <c r="H64" s="10" t="s">
        <v>65</v>
      </c>
      <c r="I64" s="9">
        <v>8</v>
      </c>
      <c r="J64" s="7">
        <f t="shared" si="6"/>
        <v>475219</v>
      </c>
      <c r="K64" s="8">
        <f t="shared" si="7"/>
        <v>0.65036841788332156</v>
      </c>
      <c r="L64" s="11"/>
    </row>
    <row r="65" spans="1:12">
      <c r="A65" s="1" t="s">
        <v>38</v>
      </c>
      <c r="B65" s="1" t="s">
        <v>66</v>
      </c>
      <c r="C65" s="24">
        <v>71323</v>
      </c>
      <c r="D65" s="24">
        <v>64401</v>
      </c>
      <c r="E65" s="14">
        <f t="shared" si="4"/>
        <v>-6922</v>
      </c>
      <c r="F65" s="15">
        <f t="shared" si="5"/>
        <v>-9.7051442031322294E-2</v>
      </c>
      <c r="G65" s="16" t="s">
        <v>67</v>
      </c>
      <c r="H65" s="16" t="s">
        <v>68</v>
      </c>
      <c r="I65" s="9">
        <v>8</v>
      </c>
      <c r="J65" s="14">
        <f t="shared" si="6"/>
        <v>563162</v>
      </c>
      <c r="K65" s="15">
        <f t="shared" si="7"/>
        <v>0.66062073447401326</v>
      </c>
      <c r="L65" s="17"/>
    </row>
    <row r="66" spans="1:12">
      <c r="A66" s="4" t="s">
        <v>38</v>
      </c>
      <c r="B66" s="4" t="s">
        <v>69</v>
      </c>
      <c r="C66" s="23">
        <v>86606</v>
      </c>
      <c r="D66" s="23">
        <v>83856</v>
      </c>
      <c r="E66" s="7">
        <f t="shared" si="4"/>
        <v>-2750</v>
      </c>
      <c r="F66" s="8">
        <f t="shared" si="5"/>
        <v>-3.1752996328198967E-2</v>
      </c>
      <c r="G66" s="10" t="s">
        <v>53</v>
      </c>
      <c r="H66" s="10" t="s">
        <v>70</v>
      </c>
      <c r="I66" s="9">
        <v>8</v>
      </c>
      <c r="J66" s="7">
        <f t="shared" si="6"/>
        <v>704991</v>
      </c>
      <c r="K66" s="8">
        <f t="shared" si="7"/>
        <v>0.64849955524320879</v>
      </c>
      <c r="L66" s="11"/>
    </row>
    <row r="67" spans="1:12">
      <c r="A67" s="1" t="s">
        <v>38</v>
      </c>
      <c r="B67" s="1" t="s">
        <v>71</v>
      </c>
      <c r="C67" s="24">
        <v>112079</v>
      </c>
      <c r="D67" s="24">
        <v>113748</v>
      </c>
      <c r="E67" s="14">
        <f t="shared" si="4"/>
        <v>1669</v>
      </c>
      <c r="F67" s="15">
        <f t="shared" si="5"/>
        <v>1.4891282042130997E-2</v>
      </c>
      <c r="G67" s="16" t="s">
        <v>53</v>
      </c>
      <c r="H67" s="16" t="s">
        <v>72</v>
      </c>
      <c r="I67" s="9">
        <v>8</v>
      </c>
      <c r="J67" s="14">
        <f t="shared" si="6"/>
        <v>910655</v>
      </c>
      <c r="K67" s="15">
        <f t="shared" si="7"/>
        <v>0.67979519290057788</v>
      </c>
      <c r="L67" s="17"/>
    </row>
    <row r="68" spans="1:12">
      <c r="A68" s="4" t="s">
        <v>39</v>
      </c>
      <c r="B68" s="4" t="s">
        <v>52</v>
      </c>
      <c r="C68" s="23">
        <v>183888</v>
      </c>
      <c r="D68" s="23">
        <v>180536</v>
      </c>
      <c r="E68" s="7">
        <f t="shared" ref="E68:E99" si="8">D68-C68</f>
        <v>-3352</v>
      </c>
      <c r="F68" s="8">
        <f t="shared" ref="F68:F99" si="9">IFERROR(E68/C68,0)</f>
        <v>-1.8228486905072654E-2</v>
      </c>
      <c r="G68" s="10" t="s">
        <v>53</v>
      </c>
      <c r="H68" s="10" t="s">
        <v>54</v>
      </c>
      <c r="I68" s="9">
        <v>9</v>
      </c>
      <c r="J68" s="7">
        <f t="shared" ref="J68:J99" si="10">SUMIFS($D$4:$D$99,$B$4:$B$99,B68,$I$4:$I$99,"&lt;="&amp;I68)</f>
        <v>1590592</v>
      </c>
      <c r="K68" s="8">
        <f t="shared" ref="K68:K99" si="11">IFERROR(J68/SUMIFS($C$4:$C$99,$B$4:$B$99,B68),0)</f>
        <v>0.72560987848961445</v>
      </c>
      <c r="L68" s="11"/>
    </row>
    <row r="69" spans="1:12" ht="24">
      <c r="A69" s="1" t="s">
        <v>39</v>
      </c>
      <c r="B69" s="1" t="s">
        <v>55</v>
      </c>
      <c r="C69" s="24">
        <v>153240</v>
      </c>
      <c r="D69" s="24">
        <v>173425</v>
      </c>
      <c r="E69" s="14">
        <f t="shared" si="8"/>
        <v>20185</v>
      </c>
      <c r="F69" s="15">
        <f t="shared" si="9"/>
        <v>0.13172148264160793</v>
      </c>
      <c r="G69" s="16" t="s">
        <v>56</v>
      </c>
      <c r="H69" s="16" t="s">
        <v>57</v>
      </c>
      <c r="I69" s="9">
        <v>9</v>
      </c>
      <c r="J69" s="14">
        <f t="shared" si="10"/>
        <v>1443369</v>
      </c>
      <c r="K69" s="15">
        <f t="shared" si="11"/>
        <v>0.73433077748444842</v>
      </c>
      <c r="L69" s="17" t="s">
        <v>74</v>
      </c>
    </row>
    <row r="70" spans="1:12" ht="24">
      <c r="A70" s="4" t="s">
        <v>39</v>
      </c>
      <c r="B70" s="4" t="s">
        <v>59</v>
      </c>
      <c r="C70" s="23">
        <v>258465</v>
      </c>
      <c r="D70" s="23">
        <v>290994</v>
      </c>
      <c r="E70" s="7">
        <f t="shared" si="8"/>
        <v>32529</v>
      </c>
      <c r="F70" s="8">
        <f t="shared" si="9"/>
        <v>0.12585456444779758</v>
      </c>
      <c r="G70" s="10" t="s">
        <v>53</v>
      </c>
      <c r="H70" s="10" t="s">
        <v>60</v>
      </c>
      <c r="I70" s="9">
        <v>9</v>
      </c>
      <c r="J70" s="7">
        <f t="shared" si="10"/>
        <v>2334543</v>
      </c>
      <c r="K70" s="8">
        <f t="shared" si="11"/>
        <v>0.74523919199619226</v>
      </c>
      <c r="L70" s="11" t="s">
        <v>74</v>
      </c>
    </row>
    <row r="71" spans="1:12">
      <c r="A71" s="1" t="s">
        <v>39</v>
      </c>
      <c r="B71" s="1" t="s">
        <v>61</v>
      </c>
      <c r="C71" s="24">
        <v>97052</v>
      </c>
      <c r="D71" s="24">
        <v>90004</v>
      </c>
      <c r="E71" s="14">
        <f t="shared" si="8"/>
        <v>-7048</v>
      </c>
      <c r="F71" s="15">
        <f t="shared" si="9"/>
        <v>-7.2620863042492684E-2</v>
      </c>
      <c r="G71" s="16" t="s">
        <v>62</v>
      </c>
      <c r="H71" s="16" t="s">
        <v>63</v>
      </c>
      <c r="I71" s="9">
        <v>9</v>
      </c>
      <c r="J71" s="14">
        <f t="shared" si="10"/>
        <v>866481</v>
      </c>
      <c r="K71" s="15">
        <f t="shared" si="11"/>
        <v>0.74894980500082975</v>
      </c>
      <c r="L71" s="17"/>
    </row>
    <row r="72" spans="1:12">
      <c r="A72" s="4" t="s">
        <v>39</v>
      </c>
      <c r="B72" s="4" t="s">
        <v>64</v>
      </c>
      <c r="C72" s="23">
        <v>61296</v>
      </c>
      <c r="D72" s="23">
        <v>56128</v>
      </c>
      <c r="E72" s="7">
        <f t="shared" si="8"/>
        <v>-5168</v>
      </c>
      <c r="F72" s="8">
        <f t="shared" si="9"/>
        <v>-8.4312190028713124E-2</v>
      </c>
      <c r="G72" s="10" t="s">
        <v>53</v>
      </c>
      <c r="H72" s="10" t="s">
        <v>65</v>
      </c>
      <c r="I72" s="9">
        <v>9</v>
      </c>
      <c r="J72" s="7">
        <f t="shared" si="10"/>
        <v>531347</v>
      </c>
      <c r="K72" s="8">
        <f t="shared" si="11"/>
        <v>0.72718327284272988</v>
      </c>
      <c r="L72" s="11"/>
    </row>
    <row r="73" spans="1:12">
      <c r="A73" s="1" t="s">
        <v>39</v>
      </c>
      <c r="B73" s="1" t="s">
        <v>66</v>
      </c>
      <c r="C73" s="24">
        <v>71512</v>
      </c>
      <c r="D73" s="24">
        <v>72801</v>
      </c>
      <c r="E73" s="14">
        <f t="shared" si="8"/>
        <v>1289</v>
      </c>
      <c r="F73" s="15">
        <f t="shared" si="9"/>
        <v>1.8024946862065107E-2</v>
      </c>
      <c r="G73" s="16" t="s">
        <v>67</v>
      </c>
      <c r="H73" s="16" t="s">
        <v>68</v>
      </c>
      <c r="I73" s="9">
        <v>9</v>
      </c>
      <c r="J73" s="14">
        <f t="shared" si="10"/>
        <v>635963</v>
      </c>
      <c r="K73" s="15">
        <f t="shared" si="11"/>
        <v>0.74602040648747059</v>
      </c>
      <c r="L73" s="17"/>
    </row>
    <row r="74" spans="1:12">
      <c r="A74" s="4" t="s">
        <v>39</v>
      </c>
      <c r="B74" s="4" t="s">
        <v>69</v>
      </c>
      <c r="C74" s="23">
        <v>86836</v>
      </c>
      <c r="D74" s="23">
        <v>90178</v>
      </c>
      <c r="E74" s="7">
        <f t="shared" si="8"/>
        <v>3342</v>
      </c>
      <c r="F74" s="8">
        <f t="shared" si="9"/>
        <v>3.8486342070109168E-2</v>
      </c>
      <c r="G74" s="10" t="s">
        <v>53</v>
      </c>
      <c r="H74" s="10" t="s">
        <v>70</v>
      </c>
      <c r="I74" s="9">
        <v>9</v>
      </c>
      <c r="J74" s="7">
        <f t="shared" si="10"/>
        <v>795169</v>
      </c>
      <c r="K74" s="8">
        <f t="shared" si="11"/>
        <v>0.73145152610910935</v>
      </c>
      <c r="L74" s="11"/>
    </row>
    <row r="75" spans="1:12">
      <c r="A75" s="1" t="s">
        <v>39</v>
      </c>
      <c r="B75" s="1" t="s">
        <v>71</v>
      </c>
      <c r="C75" s="24">
        <v>112376</v>
      </c>
      <c r="D75" s="24">
        <v>119652</v>
      </c>
      <c r="E75" s="14">
        <f t="shared" si="8"/>
        <v>7276</v>
      </c>
      <c r="F75" s="15">
        <f t="shared" si="9"/>
        <v>6.4746921050758174E-2</v>
      </c>
      <c r="G75" s="16" t="s">
        <v>53</v>
      </c>
      <c r="H75" s="16" t="s">
        <v>72</v>
      </c>
      <c r="I75" s="9">
        <v>9</v>
      </c>
      <c r="J75" s="14">
        <f t="shared" si="10"/>
        <v>1030307</v>
      </c>
      <c r="K75" s="15">
        <f t="shared" si="11"/>
        <v>0.76911425930985466</v>
      </c>
      <c r="L75" s="17"/>
    </row>
    <row r="76" spans="1:12">
      <c r="A76" s="4" t="s">
        <v>40</v>
      </c>
      <c r="B76" s="4" t="s">
        <v>52</v>
      </c>
      <c r="C76" s="23">
        <v>184374</v>
      </c>
      <c r="D76" s="23">
        <v>172650</v>
      </c>
      <c r="E76" s="7">
        <f t="shared" si="8"/>
        <v>-11724</v>
      </c>
      <c r="F76" s="8">
        <f t="shared" si="9"/>
        <v>-6.3588141495004719E-2</v>
      </c>
      <c r="G76" s="10" t="s">
        <v>53</v>
      </c>
      <c r="H76" s="10" t="s">
        <v>54</v>
      </c>
      <c r="I76" s="9">
        <v>10</v>
      </c>
      <c r="J76" s="7">
        <f t="shared" si="10"/>
        <v>1763242</v>
      </c>
      <c r="K76" s="8">
        <f t="shared" si="11"/>
        <v>0.80437083385795016</v>
      </c>
      <c r="L76" s="11"/>
    </row>
    <row r="77" spans="1:12">
      <c r="A77" s="1" t="s">
        <v>40</v>
      </c>
      <c r="B77" s="1" t="s">
        <v>55</v>
      </c>
      <c r="C77" s="24">
        <v>153645</v>
      </c>
      <c r="D77" s="24">
        <v>168191</v>
      </c>
      <c r="E77" s="14">
        <f t="shared" si="8"/>
        <v>14546</v>
      </c>
      <c r="F77" s="15">
        <f t="shared" si="9"/>
        <v>9.4672784665950735E-2</v>
      </c>
      <c r="G77" s="16" t="s">
        <v>56</v>
      </c>
      <c r="H77" s="16" t="s">
        <v>57</v>
      </c>
      <c r="I77" s="9">
        <v>10</v>
      </c>
      <c r="J77" s="14">
        <f t="shared" si="10"/>
        <v>1611560</v>
      </c>
      <c r="K77" s="15">
        <f t="shared" si="11"/>
        <v>0.81989990623523001</v>
      </c>
      <c r="L77" s="17"/>
    </row>
    <row r="78" spans="1:12" ht="24">
      <c r="A78" s="4" t="s">
        <v>40</v>
      </c>
      <c r="B78" s="4" t="s">
        <v>59</v>
      </c>
      <c r="C78" s="23">
        <v>267260</v>
      </c>
      <c r="D78" s="23">
        <v>301413</v>
      </c>
      <c r="E78" s="7">
        <f t="shared" si="8"/>
        <v>34153</v>
      </c>
      <c r="F78" s="8">
        <f t="shared" si="9"/>
        <v>0.12778941854374018</v>
      </c>
      <c r="G78" s="10" t="s">
        <v>53</v>
      </c>
      <c r="H78" s="10" t="s">
        <v>60</v>
      </c>
      <c r="I78" s="9">
        <v>10</v>
      </c>
      <c r="J78" s="7">
        <f t="shared" si="10"/>
        <v>2635956</v>
      </c>
      <c r="K78" s="8">
        <f t="shared" si="11"/>
        <v>0.84145707300208872</v>
      </c>
      <c r="L78" s="11" t="s">
        <v>58</v>
      </c>
    </row>
    <row r="79" spans="1:12" ht="24">
      <c r="A79" s="1" t="s">
        <v>40</v>
      </c>
      <c r="B79" s="1" t="s">
        <v>61</v>
      </c>
      <c r="C79" s="24">
        <v>97308</v>
      </c>
      <c r="D79" s="24">
        <v>110789</v>
      </c>
      <c r="E79" s="14">
        <f t="shared" si="8"/>
        <v>13481</v>
      </c>
      <c r="F79" s="15">
        <f t="shared" si="9"/>
        <v>0.13853948287910553</v>
      </c>
      <c r="G79" s="16" t="s">
        <v>62</v>
      </c>
      <c r="H79" s="16" t="s">
        <v>63</v>
      </c>
      <c r="I79" s="9">
        <v>10</v>
      </c>
      <c r="J79" s="14">
        <f t="shared" si="10"/>
        <v>977270</v>
      </c>
      <c r="K79" s="15">
        <f t="shared" si="11"/>
        <v>0.84471116612269737</v>
      </c>
      <c r="L79" s="17" t="s">
        <v>58</v>
      </c>
    </row>
    <row r="80" spans="1:12">
      <c r="A80" s="4" t="s">
        <v>40</v>
      </c>
      <c r="B80" s="4" t="s">
        <v>64</v>
      </c>
      <c r="C80" s="23">
        <v>61458</v>
      </c>
      <c r="D80" s="23">
        <v>63544</v>
      </c>
      <c r="E80" s="7">
        <f t="shared" si="8"/>
        <v>2086</v>
      </c>
      <c r="F80" s="8">
        <f t="shared" si="9"/>
        <v>3.3941879006801394E-2</v>
      </c>
      <c r="G80" s="10" t="s">
        <v>53</v>
      </c>
      <c r="H80" s="10" t="s">
        <v>65</v>
      </c>
      <c r="I80" s="9">
        <v>10</v>
      </c>
      <c r="J80" s="7">
        <f t="shared" si="10"/>
        <v>594891</v>
      </c>
      <c r="K80" s="8">
        <f t="shared" si="11"/>
        <v>0.81414741094743071</v>
      </c>
      <c r="L80" s="11"/>
    </row>
    <row r="81" spans="1:12">
      <c r="A81" s="1" t="s">
        <v>40</v>
      </c>
      <c r="B81" s="1" t="s">
        <v>66</v>
      </c>
      <c r="C81" s="24">
        <v>71701</v>
      </c>
      <c r="D81" s="24">
        <v>71693</v>
      </c>
      <c r="E81" s="14">
        <f t="shared" si="8"/>
        <v>-8</v>
      </c>
      <c r="F81" s="15">
        <f t="shared" si="9"/>
        <v>-1.1157445502852122E-4</v>
      </c>
      <c r="G81" s="16" t="s">
        <v>67</v>
      </c>
      <c r="H81" s="16" t="s">
        <v>68</v>
      </c>
      <c r="I81" s="9">
        <v>10</v>
      </c>
      <c r="J81" s="14">
        <f t="shared" si="10"/>
        <v>707656</v>
      </c>
      <c r="K81" s="15">
        <f t="shared" si="11"/>
        <v>0.83012033211570091</v>
      </c>
      <c r="L81" s="17"/>
    </row>
    <row r="82" spans="1:12">
      <c r="A82" s="4" t="s">
        <v>40</v>
      </c>
      <c r="B82" s="4" t="s">
        <v>69</v>
      </c>
      <c r="C82" s="23">
        <v>87066</v>
      </c>
      <c r="D82" s="23">
        <v>90816</v>
      </c>
      <c r="E82" s="7">
        <f t="shared" si="8"/>
        <v>3750</v>
      </c>
      <c r="F82" s="8">
        <f t="shared" si="9"/>
        <v>4.3070773895665354E-2</v>
      </c>
      <c r="G82" s="10" t="s">
        <v>53</v>
      </c>
      <c r="H82" s="10" t="s">
        <v>70</v>
      </c>
      <c r="I82" s="9">
        <v>10</v>
      </c>
      <c r="J82" s="7">
        <f t="shared" si="10"/>
        <v>885985</v>
      </c>
      <c r="K82" s="8">
        <f t="shared" si="11"/>
        <v>0.81499037356810855</v>
      </c>
      <c r="L82" s="11"/>
    </row>
    <row r="83" spans="1:12">
      <c r="A83" s="1" t="s">
        <v>40</v>
      </c>
      <c r="B83" s="1" t="s">
        <v>71</v>
      </c>
      <c r="C83" s="24">
        <v>112673</v>
      </c>
      <c r="D83" s="24">
        <v>118129</v>
      </c>
      <c r="E83" s="14">
        <f t="shared" si="8"/>
        <v>5456</v>
      </c>
      <c r="F83" s="15">
        <f t="shared" si="9"/>
        <v>4.8423313482378209E-2</v>
      </c>
      <c r="G83" s="16" t="s">
        <v>53</v>
      </c>
      <c r="H83" s="16" t="s">
        <v>72</v>
      </c>
      <c r="I83" s="9">
        <v>10</v>
      </c>
      <c r="J83" s="14">
        <f t="shared" si="10"/>
        <v>1148436</v>
      </c>
      <c r="K83" s="15">
        <f t="shared" si="11"/>
        <v>0.85729642087724567</v>
      </c>
      <c r="L83" s="17"/>
    </row>
    <row r="84" spans="1:12">
      <c r="A84" s="4" t="s">
        <v>41</v>
      </c>
      <c r="B84" s="4" t="s">
        <v>52</v>
      </c>
      <c r="C84" s="23">
        <v>184860</v>
      </c>
      <c r="D84" s="23">
        <v>200789</v>
      </c>
      <c r="E84" s="7">
        <f t="shared" si="8"/>
        <v>15929</v>
      </c>
      <c r="F84" s="8">
        <f t="shared" si="9"/>
        <v>8.6167910851455157E-2</v>
      </c>
      <c r="G84" s="10" t="s">
        <v>53</v>
      </c>
      <c r="H84" s="10" t="s">
        <v>54</v>
      </c>
      <c r="I84" s="9">
        <v>11</v>
      </c>
      <c r="J84" s="7">
        <f t="shared" si="10"/>
        <v>1964031</v>
      </c>
      <c r="K84" s="8">
        <f t="shared" si="11"/>
        <v>0.89596847919506439</v>
      </c>
      <c r="L84" s="11"/>
    </row>
    <row r="85" spans="1:12">
      <c r="A85" s="1" t="s">
        <v>41</v>
      </c>
      <c r="B85" s="1" t="s">
        <v>55</v>
      </c>
      <c r="C85" s="24">
        <v>223372</v>
      </c>
      <c r="D85" s="24">
        <v>221427</v>
      </c>
      <c r="E85" s="14">
        <f t="shared" si="8"/>
        <v>-1945</v>
      </c>
      <c r="F85" s="15">
        <f t="shared" si="9"/>
        <v>-8.7074476657772685E-3</v>
      </c>
      <c r="G85" s="16" t="s">
        <v>56</v>
      </c>
      <c r="H85" s="16" t="s">
        <v>57</v>
      </c>
      <c r="I85" s="9">
        <v>11</v>
      </c>
      <c r="J85" s="14">
        <f t="shared" si="10"/>
        <v>1832987</v>
      </c>
      <c r="K85" s="15">
        <f t="shared" si="11"/>
        <v>0.93255346957630836</v>
      </c>
      <c r="L85" s="17"/>
    </row>
    <row r="86" spans="1:12" ht="24">
      <c r="A86" s="4" t="s">
        <v>41</v>
      </c>
      <c r="B86" s="4" t="s">
        <v>59</v>
      </c>
      <c r="C86" s="23">
        <v>285588</v>
      </c>
      <c r="D86" s="23">
        <v>319299</v>
      </c>
      <c r="E86" s="7">
        <f t="shared" si="8"/>
        <v>33711</v>
      </c>
      <c r="F86" s="8">
        <f t="shared" si="9"/>
        <v>0.11804067397789823</v>
      </c>
      <c r="G86" s="10" t="s">
        <v>53</v>
      </c>
      <c r="H86" s="10" t="s">
        <v>60</v>
      </c>
      <c r="I86" s="9">
        <v>11</v>
      </c>
      <c r="J86" s="7">
        <f t="shared" si="10"/>
        <v>2955255</v>
      </c>
      <c r="K86" s="8">
        <f t="shared" si="11"/>
        <v>0.94338457177387924</v>
      </c>
      <c r="L86" s="11" t="s">
        <v>74</v>
      </c>
    </row>
    <row r="87" spans="1:12" ht="24">
      <c r="A87" s="1" t="s">
        <v>41</v>
      </c>
      <c r="B87" s="1" t="s">
        <v>61</v>
      </c>
      <c r="C87" s="24">
        <v>97565</v>
      </c>
      <c r="D87" s="24">
        <v>107950</v>
      </c>
      <c r="E87" s="14">
        <f t="shared" si="8"/>
        <v>10385</v>
      </c>
      <c r="F87" s="15">
        <f t="shared" si="9"/>
        <v>0.10644185927330498</v>
      </c>
      <c r="G87" s="16" t="s">
        <v>62</v>
      </c>
      <c r="H87" s="16" t="s">
        <v>63</v>
      </c>
      <c r="I87" s="9">
        <v>11</v>
      </c>
      <c r="J87" s="14">
        <f t="shared" si="10"/>
        <v>1085220</v>
      </c>
      <c r="K87" s="15">
        <f t="shared" si="11"/>
        <v>0.93801861481440507</v>
      </c>
      <c r="L87" s="17" t="s">
        <v>74</v>
      </c>
    </row>
    <row r="88" spans="1:12">
      <c r="A88" s="4" t="s">
        <v>41</v>
      </c>
      <c r="B88" s="4" t="s">
        <v>64</v>
      </c>
      <c r="C88" s="23">
        <v>61620</v>
      </c>
      <c r="D88" s="23">
        <v>59974</v>
      </c>
      <c r="E88" s="7">
        <f t="shared" si="8"/>
        <v>-1646</v>
      </c>
      <c r="F88" s="8">
        <f t="shared" si="9"/>
        <v>-2.6712106458941901E-2</v>
      </c>
      <c r="G88" s="10" t="s">
        <v>53</v>
      </c>
      <c r="H88" s="10" t="s">
        <v>65</v>
      </c>
      <c r="I88" s="9">
        <v>11</v>
      </c>
      <c r="J88" s="7">
        <f t="shared" si="10"/>
        <v>654865</v>
      </c>
      <c r="K88" s="8">
        <f t="shared" si="11"/>
        <v>0.89622576954448663</v>
      </c>
      <c r="L88" s="11"/>
    </row>
    <row r="89" spans="1:12">
      <c r="A89" s="1" t="s">
        <v>41</v>
      </c>
      <c r="B89" s="1" t="s">
        <v>66</v>
      </c>
      <c r="C89" s="24">
        <v>71890</v>
      </c>
      <c r="D89" s="24">
        <v>75416</v>
      </c>
      <c r="E89" s="14">
        <f t="shared" si="8"/>
        <v>3526</v>
      </c>
      <c r="F89" s="15">
        <f t="shared" si="9"/>
        <v>4.9047155376269302E-2</v>
      </c>
      <c r="G89" s="16" t="s">
        <v>67</v>
      </c>
      <c r="H89" s="16" t="s">
        <v>68</v>
      </c>
      <c r="I89" s="9">
        <v>11</v>
      </c>
      <c r="J89" s="14">
        <f t="shared" si="10"/>
        <v>783072</v>
      </c>
      <c r="K89" s="15">
        <f t="shared" si="11"/>
        <v>0.91858754636505047</v>
      </c>
      <c r="L89" s="17"/>
    </row>
    <row r="90" spans="1:12">
      <c r="A90" s="4" t="s">
        <v>41</v>
      </c>
      <c r="B90" s="4" t="s">
        <v>69</v>
      </c>
      <c r="C90" s="23">
        <v>104754</v>
      </c>
      <c r="D90" s="23">
        <v>109605</v>
      </c>
      <c r="E90" s="7">
        <f t="shared" si="8"/>
        <v>4851</v>
      </c>
      <c r="F90" s="8">
        <f t="shared" si="9"/>
        <v>4.6308494186379515E-2</v>
      </c>
      <c r="G90" s="10" t="s">
        <v>53</v>
      </c>
      <c r="H90" s="10" t="s">
        <v>70</v>
      </c>
      <c r="I90" s="9">
        <v>11</v>
      </c>
      <c r="J90" s="7">
        <f t="shared" si="10"/>
        <v>995590</v>
      </c>
      <c r="K90" s="8">
        <f t="shared" si="11"/>
        <v>0.91581264470693424</v>
      </c>
      <c r="L90" s="11"/>
    </row>
    <row r="91" spans="1:12">
      <c r="A91" s="1" t="s">
        <v>41</v>
      </c>
      <c r="B91" s="1" t="s">
        <v>71</v>
      </c>
      <c r="C91" s="24">
        <v>112970</v>
      </c>
      <c r="D91" s="24">
        <v>121739</v>
      </c>
      <c r="E91" s="14">
        <f t="shared" si="8"/>
        <v>8769</v>
      </c>
      <c r="F91" s="15">
        <f t="shared" si="9"/>
        <v>7.7622377622377628E-2</v>
      </c>
      <c r="G91" s="16" t="s">
        <v>53</v>
      </c>
      <c r="H91" s="16" t="s">
        <v>72</v>
      </c>
      <c r="I91" s="9">
        <v>11</v>
      </c>
      <c r="J91" s="14">
        <f t="shared" si="10"/>
        <v>1270175</v>
      </c>
      <c r="K91" s="15">
        <f t="shared" si="11"/>
        <v>0.94817341270019007</v>
      </c>
      <c r="L91" s="17"/>
    </row>
    <row r="92" spans="1:12" ht="24">
      <c r="A92" s="4" t="s">
        <v>42</v>
      </c>
      <c r="B92" s="4" t="s">
        <v>52</v>
      </c>
      <c r="C92" s="23">
        <v>185346</v>
      </c>
      <c r="D92" s="23">
        <v>208963</v>
      </c>
      <c r="E92" s="7">
        <f t="shared" si="8"/>
        <v>23617</v>
      </c>
      <c r="F92" s="8">
        <f t="shared" si="9"/>
        <v>0.12742114747553224</v>
      </c>
      <c r="G92" s="10" t="s">
        <v>53</v>
      </c>
      <c r="H92" s="10" t="s">
        <v>54</v>
      </c>
      <c r="I92" s="9">
        <v>12</v>
      </c>
      <c r="J92" s="7">
        <f t="shared" si="10"/>
        <v>2172994</v>
      </c>
      <c r="K92" s="8">
        <f t="shared" si="11"/>
        <v>0.99129500984454921</v>
      </c>
      <c r="L92" s="11" t="s">
        <v>58</v>
      </c>
    </row>
    <row r="93" spans="1:12">
      <c r="A93" s="1" t="s">
        <v>42</v>
      </c>
      <c r="B93" s="1" t="s">
        <v>55</v>
      </c>
      <c r="C93" s="24">
        <v>223960</v>
      </c>
      <c r="D93" s="24">
        <v>235186</v>
      </c>
      <c r="E93" s="14">
        <f t="shared" si="8"/>
        <v>11226</v>
      </c>
      <c r="F93" s="15">
        <f t="shared" si="9"/>
        <v>5.0125022325415255E-2</v>
      </c>
      <c r="G93" s="16" t="s">
        <v>56</v>
      </c>
      <c r="H93" s="16" t="s">
        <v>57</v>
      </c>
      <c r="I93" s="9">
        <v>12</v>
      </c>
      <c r="J93" s="14">
        <f t="shared" si="10"/>
        <v>2068173</v>
      </c>
      <c r="K93" s="15">
        <f t="shared" si="11"/>
        <v>1.0522070843023124</v>
      </c>
      <c r="L93" s="17"/>
    </row>
    <row r="94" spans="1:12">
      <c r="A94" s="4" t="s">
        <v>42</v>
      </c>
      <c r="B94" s="4" t="s">
        <v>59</v>
      </c>
      <c r="C94" s="23">
        <v>297892</v>
      </c>
      <c r="D94" s="23">
        <v>287023</v>
      </c>
      <c r="E94" s="7">
        <f t="shared" si="8"/>
        <v>-10869</v>
      </c>
      <c r="F94" s="8">
        <f t="shared" si="9"/>
        <v>-3.6486377613363236E-2</v>
      </c>
      <c r="G94" s="10" t="s">
        <v>53</v>
      </c>
      <c r="H94" s="10" t="s">
        <v>60</v>
      </c>
      <c r="I94" s="9">
        <v>12</v>
      </c>
      <c r="J94" s="7">
        <f t="shared" si="10"/>
        <v>3242278</v>
      </c>
      <c r="K94" s="8">
        <f t="shared" si="11"/>
        <v>1.0350088376813065</v>
      </c>
      <c r="L94" s="11"/>
    </row>
    <row r="95" spans="1:12">
      <c r="A95" s="1" t="s">
        <v>42</v>
      </c>
      <c r="B95" s="1" t="s">
        <v>61</v>
      </c>
      <c r="C95" s="24">
        <v>97822</v>
      </c>
      <c r="D95" s="24">
        <v>89946</v>
      </c>
      <c r="E95" s="14">
        <f t="shared" si="8"/>
        <v>-7876</v>
      </c>
      <c r="F95" s="15">
        <f t="shared" si="9"/>
        <v>-8.0513585900922086E-2</v>
      </c>
      <c r="G95" s="16" t="s">
        <v>62</v>
      </c>
      <c r="H95" s="16" t="s">
        <v>63</v>
      </c>
      <c r="I95" s="9">
        <v>12</v>
      </c>
      <c r="J95" s="14">
        <f t="shared" si="10"/>
        <v>1175166</v>
      </c>
      <c r="K95" s="15">
        <f t="shared" si="11"/>
        <v>1.0157641616418653</v>
      </c>
      <c r="L95" s="17"/>
    </row>
    <row r="96" spans="1:12">
      <c r="A96" s="4" t="s">
        <v>42</v>
      </c>
      <c r="B96" s="4" t="s">
        <v>64</v>
      </c>
      <c r="C96" s="23">
        <v>61782</v>
      </c>
      <c r="D96" s="23">
        <v>59160</v>
      </c>
      <c r="E96" s="7">
        <f t="shared" si="8"/>
        <v>-2622</v>
      </c>
      <c r="F96" s="8">
        <f t="shared" si="9"/>
        <v>-4.2439545498688939E-2</v>
      </c>
      <c r="G96" s="10" t="s">
        <v>53</v>
      </c>
      <c r="H96" s="10" t="s">
        <v>65</v>
      </c>
      <c r="I96" s="9">
        <v>12</v>
      </c>
      <c r="J96" s="7">
        <f t="shared" si="10"/>
        <v>714025</v>
      </c>
      <c r="K96" s="8">
        <f t="shared" si="11"/>
        <v>0.97719011567117198</v>
      </c>
      <c r="L96" s="11"/>
    </row>
    <row r="97" spans="1:12">
      <c r="A97" s="1" t="s">
        <v>42</v>
      </c>
      <c r="B97" s="1" t="s">
        <v>66</v>
      </c>
      <c r="C97" s="24">
        <v>72079</v>
      </c>
      <c r="D97" s="24">
        <v>74420</v>
      </c>
      <c r="E97" s="14">
        <f t="shared" si="8"/>
        <v>2341</v>
      </c>
      <c r="F97" s="15">
        <f t="shared" si="9"/>
        <v>3.2478253027927693E-2</v>
      </c>
      <c r="G97" s="16" t="s">
        <v>67</v>
      </c>
      <c r="H97" s="16" t="s">
        <v>68</v>
      </c>
      <c r="I97" s="9">
        <v>12</v>
      </c>
      <c r="J97" s="14">
        <f t="shared" si="10"/>
        <v>857492</v>
      </c>
      <c r="K97" s="15">
        <f t="shared" si="11"/>
        <v>1.0058863965352609</v>
      </c>
      <c r="L97" s="17"/>
    </row>
    <row r="98" spans="1:12">
      <c r="A98" s="4" t="s">
        <v>42</v>
      </c>
      <c r="B98" s="4" t="s">
        <v>69</v>
      </c>
      <c r="C98" s="23">
        <v>105029</v>
      </c>
      <c r="D98" s="23">
        <v>98472</v>
      </c>
      <c r="E98" s="7">
        <f t="shared" si="8"/>
        <v>-6557</v>
      </c>
      <c r="F98" s="8">
        <f t="shared" si="9"/>
        <v>-6.2430376372240047E-2</v>
      </c>
      <c r="G98" s="10" t="s">
        <v>53</v>
      </c>
      <c r="H98" s="10" t="s">
        <v>70</v>
      </c>
      <c r="I98" s="9">
        <v>12</v>
      </c>
      <c r="J98" s="7">
        <f t="shared" si="10"/>
        <v>1094062</v>
      </c>
      <c r="K98" s="8">
        <f t="shared" si="11"/>
        <v>1.0063940112831165</v>
      </c>
      <c r="L98" s="11"/>
    </row>
    <row r="99" spans="1:12">
      <c r="A99" s="1" t="s">
        <v>42</v>
      </c>
      <c r="B99" s="1" t="s">
        <v>71</v>
      </c>
      <c r="C99" s="24">
        <v>113267</v>
      </c>
      <c r="D99" s="24">
        <v>113045</v>
      </c>
      <c r="E99" s="14">
        <f t="shared" si="8"/>
        <v>-222</v>
      </c>
      <c r="F99" s="15">
        <f t="shared" si="9"/>
        <v>-1.959970688726637E-3</v>
      </c>
      <c r="G99" s="16" t="s">
        <v>53</v>
      </c>
      <c r="H99" s="16" t="s">
        <v>72</v>
      </c>
      <c r="I99" s="9">
        <v>12</v>
      </c>
      <c r="J99" s="14">
        <f t="shared" si="10"/>
        <v>1383220</v>
      </c>
      <c r="K99" s="15">
        <f t="shared" si="11"/>
        <v>1.032560417198541</v>
      </c>
      <c r="L99" s="17"/>
    </row>
    <row r="100" spans="1:12">
      <c r="A100" s="64" t="s">
        <v>43</v>
      </c>
      <c r="B100" s="64"/>
      <c r="C100" s="20">
        <f>SUM(C4:C99)</f>
        <v>12457049</v>
      </c>
      <c r="D100" s="20">
        <f>SUM(D4:D99)</f>
        <v>12707410</v>
      </c>
      <c r="E100" s="20">
        <f>SUM(E4:E99)</f>
        <v>250361</v>
      </c>
      <c r="F100" s="21">
        <f t="shared" ref="F100:F131" si="12">IFERROR(E100/C100,0)</f>
        <v>2.0097938123226456E-2</v>
      </c>
      <c r="G100" s="22"/>
      <c r="H100" s="22"/>
      <c r="I100" s="22"/>
      <c r="J100" s="20">
        <f>D100</f>
        <v>12707410</v>
      </c>
      <c r="K100" s="21">
        <f>IFERROR(J100/C100,0)</f>
        <v>1.0200979381232265</v>
      </c>
      <c r="L100" s="22"/>
    </row>
  </sheetData>
  <mergeCells count="2">
    <mergeCell ref="A1:L1"/>
    <mergeCell ref="A100:B100"/>
  </mergeCells>
  <conditionalFormatting sqref="E4:E99">
    <cfRule type="cellIs" dxfId="15" priority="2" operator="greaterThan">
      <formula>0</formula>
    </cfRule>
    <cfRule type="cellIs" dxfId="14" priority="3" operator="lessThanOrEqual">
      <formula>0</formula>
    </cfRule>
  </conditionalFormatting>
  <conditionalFormatting sqref="K4:K99">
    <cfRule type="cellIs" dxfId="13" priority="4" operator="lessThan">
      <formula>0.34</formula>
    </cfRule>
    <cfRule type="cellIs" dxfId="12" priority="5" operator="between">
      <formula>0.34</formula>
      <formula>0.67</formula>
    </cfRule>
    <cfRule type="cellIs" dxfId="11" priority="6" operator="greaterThanOrEqual">
      <formula>0.67</formula>
    </cfRule>
  </conditionalFormatting>
  <dataValidations count="2">
    <dataValidation type="decimal" operator="greaterThanOrEqual" allowBlank="1" showErrorMessage="1" errorTitle="Amount must be ≥ 0" error="Budgeted amount cannot be negative." sqref="C4:C99" xr:uid="{00000000-0002-0000-0100-000000000000}">
      <formula1>0</formula1>
      <formula2>0</formula2>
    </dataValidation>
    <dataValidation type="decimal" operator="greaterThanOrEqual" allowBlank="1" showErrorMessage="1" errorTitle="Amount must be ≥ 0" error="Actual amount cannot be negative." sqref="D4:D99" xr:uid="{00000000-0002-0000-01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A1:E32"/>
  <sheetViews>
    <sheetView showGridLines="0" zoomScaleNormal="100" workbookViewId="0">
      <selection sqref="A1:E1"/>
    </sheetView>
  </sheetViews>
  <sheetFormatPr defaultColWidth="8.7109375" defaultRowHeight="15"/>
  <cols>
    <col min="1" max="1" width="26" customWidth="1"/>
    <col min="2" max="3" width="18" customWidth="1"/>
    <col min="4" max="4" width="15" customWidth="1"/>
    <col min="5" max="5" width="18" customWidth="1"/>
  </cols>
  <sheetData>
    <row r="1" spans="1:5" ht="25.5" customHeight="1">
      <c r="A1" s="46" t="s">
        <v>75</v>
      </c>
      <c r="B1" s="46"/>
      <c r="C1" s="46"/>
      <c r="D1" s="46"/>
      <c r="E1" s="46"/>
    </row>
    <row r="2" spans="1:5">
      <c r="A2" s="47" t="s">
        <v>76</v>
      </c>
      <c r="B2" s="47"/>
      <c r="C2" s="47"/>
      <c r="D2" s="47"/>
      <c r="E2" s="47"/>
    </row>
    <row r="4" spans="1:5" ht="18" customHeight="1">
      <c r="A4" s="65" t="s">
        <v>77</v>
      </c>
      <c r="B4" s="65"/>
      <c r="C4" s="65"/>
      <c r="D4" s="65"/>
      <c r="E4" s="65"/>
    </row>
    <row r="5" spans="1:5" ht="30" customHeight="1">
      <c r="A5" s="3" t="s">
        <v>3</v>
      </c>
      <c r="B5" s="3" t="s">
        <v>6</v>
      </c>
      <c r="C5" s="3" t="s">
        <v>9</v>
      </c>
      <c r="D5" s="3" t="s">
        <v>10</v>
      </c>
      <c r="E5" s="3" t="s">
        <v>11</v>
      </c>
    </row>
    <row r="6" spans="1:5">
      <c r="A6" s="1" t="s">
        <v>19</v>
      </c>
      <c r="B6" s="30">
        <f>SUMIF('Revenue Detail'!$C$4:$C$195,A6,'Revenue Detail'!$F$4:$F$195)</f>
        <v>4845883.04</v>
      </c>
      <c r="C6" s="30">
        <f>SUMIF('Revenue Detail'!$C$4:$C$195,A6,'Revenue Detail'!$I$4:$I$195)</f>
        <v>4995971.6500000013</v>
      </c>
      <c r="D6" s="14">
        <f>C6-B6</f>
        <v>150088.61000000127</v>
      </c>
      <c r="E6" s="15">
        <f>IFERROR(D6/B6,0)</f>
        <v>3.0972396312726785E-2</v>
      </c>
    </row>
    <row r="7" spans="1:5">
      <c r="A7" s="1" t="s">
        <v>21</v>
      </c>
      <c r="B7" s="30">
        <f>SUMIF('Revenue Detail'!$C$4:$C$195,A7,'Revenue Detail'!$F$4:$F$195)</f>
        <v>4199798.6999999993</v>
      </c>
      <c r="C7" s="30">
        <f>SUMIF('Revenue Detail'!$C$4:$C$195,A7,'Revenue Detail'!$I$4:$I$195)</f>
        <v>4264274.8899999997</v>
      </c>
      <c r="D7" s="14">
        <f>C7-B7</f>
        <v>64476.19000000041</v>
      </c>
      <c r="E7" s="15">
        <f>IFERROR(D7/B7,0)</f>
        <v>1.535220961899922E-2</v>
      </c>
    </row>
    <row r="8" spans="1:5">
      <c r="A8" s="1" t="s">
        <v>23</v>
      </c>
      <c r="B8" s="30">
        <f>SUMIF('Revenue Detail'!$C$4:$C$195,A8,'Revenue Detail'!$F$4:$F$195)</f>
        <v>5923114.9999999991</v>
      </c>
      <c r="C8" s="30">
        <f>SUMIF('Revenue Detail'!$C$4:$C$195,A8,'Revenue Detail'!$I$4:$I$195)</f>
        <v>6003090.7199999997</v>
      </c>
      <c r="D8" s="14">
        <f>C8-B8</f>
        <v>79975.720000000671</v>
      </c>
      <c r="E8" s="15">
        <f>IFERROR(D8/B8,0)</f>
        <v>1.3502307485166282E-2</v>
      </c>
    </row>
    <row r="9" spans="1:5">
      <c r="A9" s="1" t="s">
        <v>24</v>
      </c>
      <c r="B9" s="30">
        <f>SUMIF('Revenue Detail'!$C$4:$C$195,A9,'Revenue Detail'!$F$4:$F$195)</f>
        <v>4092029.37</v>
      </c>
      <c r="C9" s="30">
        <f>SUMIF('Revenue Detail'!$C$4:$C$195,A9,'Revenue Detail'!$I$4:$I$195)</f>
        <v>4105308.83</v>
      </c>
      <c r="D9" s="14">
        <f>C9-B9</f>
        <v>13279.459999999963</v>
      </c>
      <c r="E9" s="15">
        <f>IFERROR(D9/B9,0)</f>
        <v>3.2452015367621769E-3</v>
      </c>
    </row>
    <row r="10" spans="1:5">
      <c r="A10" s="2" t="s">
        <v>78</v>
      </c>
      <c r="B10" s="20">
        <f>SUM(B6:B9)</f>
        <v>19060826.109999999</v>
      </c>
      <c r="C10" s="20">
        <f>SUM(C6:C9)</f>
        <v>19368646.090000004</v>
      </c>
      <c r="D10" s="20">
        <f>C10-B10</f>
        <v>307819.98000000417</v>
      </c>
      <c r="E10" s="21">
        <f>IFERROR(D10/B10,0)</f>
        <v>1.61493514616615E-2</v>
      </c>
    </row>
    <row r="12" spans="1:5" ht="18" customHeight="1">
      <c r="A12" s="65" t="s">
        <v>79</v>
      </c>
      <c r="B12" s="65"/>
      <c r="C12" s="65"/>
      <c r="D12" s="65"/>
      <c r="E12" s="65"/>
    </row>
    <row r="13" spans="1:5" ht="30" customHeight="1">
      <c r="A13" s="3" t="s">
        <v>45</v>
      </c>
      <c r="B13" s="3" t="s">
        <v>46</v>
      </c>
      <c r="C13" s="3" t="s">
        <v>47</v>
      </c>
      <c r="D13" s="3" t="s">
        <v>10</v>
      </c>
      <c r="E13" s="3" t="s">
        <v>11</v>
      </c>
    </row>
    <row r="14" spans="1:5">
      <c r="A14" s="1" t="s">
        <v>52</v>
      </c>
      <c r="B14" s="30">
        <f>SUMIF('Expense Detail'!$B$4:$B$99,A14,'Expense Detail'!$C$4:$C$99)</f>
        <v>2192076</v>
      </c>
      <c r="C14" s="30">
        <f>SUMIF('Expense Detail'!$B$4:$B$99,A14,'Expense Detail'!$D$4:$D$99)</f>
        <v>2172994</v>
      </c>
      <c r="D14" s="14">
        <f t="shared" ref="D14:D22" si="0">C14-B14</f>
        <v>-19082</v>
      </c>
      <c r="E14" s="15">
        <f t="shared" ref="E14:E22" si="1">IFERROR(D14/B14,0)</f>
        <v>-8.7049901554508147E-3</v>
      </c>
    </row>
    <row r="15" spans="1:5">
      <c r="A15" s="1" t="s">
        <v>55</v>
      </c>
      <c r="B15" s="30">
        <f>SUMIF('Expense Detail'!$B$4:$B$99,A15,'Expense Detail'!$C$4:$C$99)</f>
        <v>1965557</v>
      </c>
      <c r="C15" s="30">
        <f>SUMIF('Expense Detail'!$B$4:$B$99,A15,'Expense Detail'!$D$4:$D$99)</f>
        <v>2068173</v>
      </c>
      <c r="D15" s="14">
        <f t="shared" si="0"/>
        <v>102616</v>
      </c>
      <c r="E15" s="15">
        <f t="shared" si="1"/>
        <v>5.2207084302312273E-2</v>
      </c>
    </row>
    <row r="16" spans="1:5">
      <c r="A16" s="1" t="s">
        <v>59</v>
      </c>
      <c r="B16" s="30">
        <f>SUMIF('Expense Detail'!$B$4:$B$99,A16,'Expense Detail'!$C$4:$C$99)</f>
        <v>3132609</v>
      </c>
      <c r="C16" s="30">
        <f>SUMIF('Expense Detail'!$B$4:$B$99,A16,'Expense Detail'!$D$4:$D$99)</f>
        <v>3242278</v>
      </c>
      <c r="D16" s="14">
        <f t="shared" si="0"/>
        <v>109669</v>
      </c>
      <c r="E16" s="15">
        <f t="shared" si="1"/>
        <v>3.500883768130654E-2</v>
      </c>
    </row>
    <row r="17" spans="1:5">
      <c r="A17" s="1" t="s">
        <v>61</v>
      </c>
      <c r="B17" s="30">
        <f>SUMIF('Expense Detail'!$B$4:$B$99,A17,'Expense Detail'!$C$4:$C$99)</f>
        <v>1156928</v>
      </c>
      <c r="C17" s="30">
        <f>SUMIF('Expense Detail'!$B$4:$B$99,A17,'Expense Detail'!$D$4:$D$99)</f>
        <v>1175166</v>
      </c>
      <c r="D17" s="14">
        <f t="shared" si="0"/>
        <v>18238</v>
      </c>
      <c r="E17" s="15">
        <f t="shared" si="1"/>
        <v>1.5764161641865355E-2</v>
      </c>
    </row>
    <row r="18" spans="1:5">
      <c r="A18" s="1" t="s">
        <v>64</v>
      </c>
      <c r="B18" s="30">
        <f>SUMIF('Expense Detail'!$B$4:$B$99,A18,'Expense Detail'!$C$4:$C$99)</f>
        <v>730692</v>
      </c>
      <c r="C18" s="30">
        <f>SUMIF('Expense Detail'!$B$4:$B$99,A18,'Expense Detail'!$D$4:$D$99)</f>
        <v>714025</v>
      </c>
      <c r="D18" s="14">
        <f t="shared" si="0"/>
        <v>-16667</v>
      </c>
      <c r="E18" s="15">
        <f t="shared" si="1"/>
        <v>-2.2809884328828016E-2</v>
      </c>
    </row>
    <row r="19" spans="1:5">
      <c r="A19" s="1" t="s">
        <v>66</v>
      </c>
      <c r="B19" s="30">
        <f>SUMIF('Expense Detail'!$B$4:$B$99,A19,'Expense Detail'!$C$4:$C$99)</f>
        <v>852474</v>
      </c>
      <c r="C19" s="30">
        <f>SUMIF('Expense Detail'!$B$4:$B$99,A19,'Expense Detail'!$D$4:$D$99)</f>
        <v>857492</v>
      </c>
      <c r="D19" s="14">
        <f t="shared" si="0"/>
        <v>5018</v>
      </c>
      <c r="E19" s="15">
        <f t="shared" si="1"/>
        <v>5.8863965352608993E-3</v>
      </c>
    </row>
    <row r="20" spans="1:5">
      <c r="A20" s="1" t="s">
        <v>69</v>
      </c>
      <c r="B20" s="30">
        <f>SUMIF('Expense Detail'!$B$4:$B$99,A20,'Expense Detail'!$C$4:$C$99)</f>
        <v>1087111</v>
      </c>
      <c r="C20" s="30">
        <f>SUMIF('Expense Detail'!$B$4:$B$99,A20,'Expense Detail'!$D$4:$D$99)</f>
        <v>1094062</v>
      </c>
      <c r="D20" s="14">
        <f t="shared" si="0"/>
        <v>6951</v>
      </c>
      <c r="E20" s="15">
        <f t="shared" si="1"/>
        <v>6.3940112831164433E-3</v>
      </c>
    </row>
    <row r="21" spans="1:5">
      <c r="A21" s="1" t="s">
        <v>71</v>
      </c>
      <c r="B21" s="30">
        <f>SUMIF('Expense Detail'!$B$4:$B$99,A21,'Expense Detail'!$C$4:$C$99)</f>
        <v>1339602</v>
      </c>
      <c r="C21" s="30">
        <f>SUMIF('Expense Detail'!$B$4:$B$99,A21,'Expense Detail'!$D$4:$D$99)</f>
        <v>1383220</v>
      </c>
      <c r="D21" s="14">
        <f t="shared" si="0"/>
        <v>43618</v>
      </c>
      <c r="E21" s="15">
        <f t="shared" si="1"/>
        <v>3.256041719854106E-2</v>
      </c>
    </row>
    <row r="22" spans="1:5">
      <c r="A22" s="2" t="s">
        <v>80</v>
      </c>
      <c r="B22" s="20">
        <f>SUM(B14:B21)</f>
        <v>12457049</v>
      </c>
      <c r="C22" s="20">
        <f>SUM(C14:C21)</f>
        <v>12707410</v>
      </c>
      <c r="D22" s="20">
        <f t="shared" si="0"/>
        <v>250361</v>
      </c>
      <c r="E22" s="21">
        <f t="shared" si="1"/>
        <v>2.0097938123226456E-2</v>
      </c>
    </row>
    <row r="24" spans="1:5" ht="18" customHeight="1">
      <c r="A24" s="65" t="s">
        <v>81</v>
      </c>
      <c r="B24" s="65"/>
      <c r="C24" s="65"/>
      <c r="D24" s="65"/>
      <c r="E24" s="65"/>
    </row>
    <row r="25" spans="1:5">
      <c r="A25" s="66" t="s">
        <v>6</v>
      </c>
      <c r="B25" s="66"/>
      <c r="C25" s="66"/>
      <c r="D25" s="66"/>
      <c r="E25" s="31">
        <f>B10</f>
        <v>19060826.109999999</v>
      </c>
    </row>
    <row r="26" spans="1:5">
      <c r="A26" s="66" t="s">
        <v>82</v>
      </c>
      <c r="B26" s="66"/>
      <c r="C26" s="66"/>
      <c r="D26" s="66"/>
      <c r="E26" s="31">
        <f>B22</f>
        <v>12457049</v>
      </c>
    </row>
    <row r="27" spans="1:5">
      <c r="A27" s="67" t="s">
        <v>83</v>
      </c>
      <c r="B27" s="67"/>
      <c r="C27" s="67"/>
      <c r="D27" s="67"/>
      <c r="E27" s="32">
        <f>E25-E26</f>
        <v>6603777.1099999994</v>
      </c>
    </row>
    <row r="28" spans="1:5">
      <c r="A28" s="66" t="s">
        <v>9</v>
      </c>
      <c r="B28" s="66"/>
      <c r="C28" s="66"/>
      <c r="D28" s="66"/>
      <c r="E28" s="31">
        <f>C10</f>
        <v>19368646.090000004</v>
      </c>
    </row>
    <row r="29" spans="1:5">
      <c r="A29" s="66" t="s">
        <v>84</v>
      </c>
      <c r="B29" s="66"/>
      <c r="C29" s="66"/>
      <c r="D29" s="66"/>
      <c r="E29" s="31">
        <f>C22</f>
        <v>12707410</v>
      </c>
    </row>
    <row r="30" spans="1:5">
      <c r="A30" s="67" t="s">
        <v>85</v>
      </c>
      <c r="B30" s="67"/>
      <c r="C30" s="67"/>
      <c r="D30" s="67"/>
      <c r="E30" s="32">
        <f>E28-E29</f>
        <v>6661236.0900000036</v>
      </c>
    </row>
    <row r="31" spans="1:5">
      <c r="A31" s="67" t="s">
        <v>86</v>
      </c>
      <c r="B31" s="67"/>
      <c r="C31" s="67"/>
      <c r="D31" s="67"/>
      <c r="E31" s="32">
        <f>E30-E27</f>
        <v>57458.980000004172</v>
      </c>
    </row>
    <row r="32" spans="1:5">
      <c r="A32" s="67" t="s">
        <v>87</v>
      </c>
      <c r="B32" s="67"/>
      <c r="C32" s="67"/>
      <c r="D32" s="67"/>
      <c r="E32" s="33">
        <f>IFERROR(E31/E27,0)</f>
        <v>8.7009266125888645E-3</v>
      </c>
    </row>
  </sheetData>
  <mergeCells count="13">
    <mergeCell ref="A1:E1"/>
    <mergeCell ref="A2:E2"/>
    <mergeCell ref="A4:E4"/>
    <mergeCell ref="A12:E12"/>
    <mergeCell ref="A24:E24"/>
    <mergeCell ref="A30:D30"/>
    <mergeCell ref="A31:D31"/>
    <mergeCell ref="A32:D32"/>
    <mergeCell ref="A25:D25"/>
    <mergeCell ref="A26:D26"/>
    <mergeCell ref="A27:D27"/>
    <mergeCell ref="A28:D28"/>
    <mergeCell ref="A29:D29"/>
  </mergeCells>
  <conditionalFormatting sqref="D6:D10">
    <cfRule type="cellIs" dxfId="10" priority="2" operator="lessThan">
      <formula>0</formula>
    </cfRule>
    <cfRule type="cellIs" dxfId="9" priority="3" operator="greaterThanOrEqual">
      <formula>0</formula>
    </cfRule>
  </conditionalFormatting>
  <conditionalFormatting sqref="D14:D22">
    <cfRule type="cellIs" dxfId="8" priority="6" operator="greaterThan">
      <formula>0</formula>
    </cfRule>
    <cfRule type="cellIs" dxfId="7" priority="7" operator="lessThanOrEqual">
      <formula>0</formula>
    </cfRule>
  </conditionalFormatting>
  <conditionalFormatting sqref="E31">
    <cfRule type="cellIs" dxfId="6" priority="10" operator="lessThan">
      <formula>0</formula>
    </cfRule>
    <cfRule type="cellIs" dxfId="5" priority="11" operator="greaterThanOr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91B2"/>
  </sheetPr>
  <dimension ref="A1:G20"/>
  <sheetViews>
    <sheetView showGridLines="0" zoomScaleNormal="100" workbookViewId="0">
      <pane ySplit="7" topLeftCell="A8" activePane="bottomLeft" state="frozen"/>
      <selection pane="bottomLeft" sqref="A1:G1"/>
    </sheetView>
  </sheetViews>
  <sheetFormatPr defaultColWidth="8.7109375" defaultRowHeight="15"/>
  <cols>
    <col min="1" max="1" width="22" customWidth="1"/>
    <col min="2" max="3" width="16" customWidth="1"/>
    <col min="4" max="4" width="20" customWidth="1"/>
    <col min="5" max="5" width="16" customWidth="1"/>
    <col min="6" max="6" width="14" customWidth="1"/>
    <col min="7" max="7" width="18" customWidth="1"/>
  </cols>
  <sheetData>
    <row r="1" spans="1:7" ht="25.5" customHeight="1">
      <c r="A1" s="46" t="s">
        <v>88</v>
      </c>
      <c r="B1" s="46"/>
      <c r="C1" s="46"/>
      <c r="D1" s="46"/>
      <c r="E1" s="46"/>
      <c r="F1" s="46"/>
      <c r="G1" s="46"/>
    </row>
    <row r="2" spans="1:7">
      <c r="A2" s="47" t="s">
        <v>89</v>
      </c>
      <c r="B2" s="47"/>
      <c r="C2" s="47"/>
      <c r="D2" s="47"/>
      <c r="E2" s="47"/>
      <c r="F2" s="47"/>
      <c r="G2" s="47"/>
    </row>
    <row r="3" spans="1:7" ht="18" customHeight="1">
      <c r="A3" s="48" t="s">
        <v>90</v>
      </c>
      <c r="B3" s="48"/>
      <c r="C3" s="34" t="str">
        <f>Assumptions!$B$19</f>
        <v>Likely Case</v>
      </c>
    </row>
    <row r="4" spans="1:7" ht="18" customHeight="1">
      <c r="A4" s="48" t="s">
        <v>91</v>
      </c>
      <c r="B4" s="48"/>
      <c r="C4" s="35">
        <f>Assumptions!$B$26</f>
        <v>1</v>
      </c>
    </row>
    <row r="5" spans="1:7" ht="18" customHeight="1">
      <c r="A5" s="48" t="s">
        <v>92</v>
      </c>
      <c r="B5" s="48"/>
      <c r="C5" s="35">
        <f>Assumptions!$B$27</f>
        <v>1</v>
      </c>
    </row>
    <row r="7" spans="1:7" ht="30" customHeight="1">
      <c r="A7" s="3" t="s">
        <v>1</v>
      </c>
      <c r="B7" s="3" t="s">
        <v>93</v>
      </c>
      <c r="C7" s="3" t="s">
        <v>94</v>
      </c>
      <c r="D7" s="3" t="s">
        <v>95</v>
      </c>
      <c r="E7" s="3" t="s">
        <v>96</v>
      </c>
      <c r="F7" s="3" t="s">
        <v>97</v>
      </c>
      <c r="G7" s="3" t="s">
        <v>98</v>
      </c>
    </row>
    <row r="8" spans="1:7">
      <c r="A8" s="4" t="s">
        <v>17</v>
      </c>
      <c r="B8" s="36">
        <f>Assumptions!$D$15</f>
        <v>850000</v>
      </c>
      <c r="C8" s="7">
        <f>SUMIF('Revenue Detail'!$A$4:$A$195,A8,'Revenue Detail'!$F$4:$F$195)*Assumptions!$D$14*Assumptions!$B$26</f>
        <v>1159305.5999999999</v>
      </c>
      <c r="D8" s="7">
        <f>SUMIF('Expense Detail'!$A$4:$A$99,A8,'Expense Detail'!$C$4:$C$99)*Assumptions!$B$27</f>
        <v>1008120</v>
      </c>
      <c r="E8" s="23">
        <v>15000</v>
      </c>
      <c r="F8" s="36">
        <f>Assumptions!$D$16</f>
        <v>15000</v>
      </c>
      <c r="G8" s="7">
        <f t="shared" ref="G8:G19" si="0">B8+C8-D8-E8-F8</f>
        <v>971185.59999999986</v>
      </c>
    </row>
    <row r="9" spans="1:7">
      <c r="A9" s="1" t="s">
        <v>29</v>
      </c>
      <c r="B9" s="14">
        <f t="shared" ref="B9:B19" si="1">G8</f>
        <v>971185.59999999986</v>
      </c>
      <c r="C9" s="14">
        <f>SUMIF('Revenue Detail'!$A$4:$A$195,A9,'Revenue Detail'!$F$4:$F$195)*Assumptions!$D$14*Assumptions!$B$26</f>
        <v>1190555.2896000003</v>
      </c>
      <c r="D9" s="14">
        <f>SUMIF('Expense Detail'!$A$4:$A$99,A9,'Expense Detail'!$C$4:$C$99)*Assumptions!$B$27</f>
        <v>995120</v>
      </c>
      <c r="E9" s="24">
        <v>15000</v>
      </c>
      <c r="F9" s="30">
        <f>Assumptions!$D$16</f>
        <v>15000</v>
      </c>
      <c r="G9" s="14">
        <f t="shared" si="0"/>
        <v>1136620.8896000003</v>
      </c>
    </row>
    <row r="10" spans="1:7">
      <c r="A10" s="4" t="s">
        <v>31</v>
      </c>
      <c r="B10" s="7">
        <f t="shared" si="1"/>
        <v>1136620.8896000003</v>
      </c>
      <c r="C10" s="7">
        <f>SUMIF('Revenue Detail'!$A$4:$A$195,A10,'Revenue Detail'!$F$4:$F$195)*Assumptions!$D$14*Assumptions!$B$26</f>
        <v>1321441.2191999995</v>
      </c>
      <c r="D10" s="7">
        <f>SUMIF('Expense Detail'!$A$4:$A$99,A10,'Expense Detail'!$C$4:$C$99)*Assumptions!$B$27</f>
        <v>1003771</v>
      </c>
      <c r="E10" s="23">
        <v>20000</v>
      </c>
      <c r="F10" s="36">
        <f>Assumptions!$D$16</f>
        <v>15000</v>
      </c>
      <c r="G10" s="7">
        <f t="shared" si="0"/>
        <v>1419291.1087999996</v>
      </c>
    </row>
    <row r="11" spans="1:7">
      <c r="A11" s="1" t="s">
        <v>34</v>
      </c>
      <c r="B11" s="14">
        <f t="shared" si="1"/>
        <v>1419291.1087999996</v>
      </c>
      <c r="C11" s="14">
        <f>SUMIF('Revenue Detail'!$A$4:$A$195,A11,'Revenue Detail'!$F$4:$F$195)*Assumptions!$D$14*Assumptions!$B$26</f>
        <v>1395818.8224000002</v>
      </c>
      <c r="D11" s="14">
        <f>SUMIF('Expense Detail'!$A$4:$A$99,A11,'Expense Detail'!$C$4:$C$99)*Assumptions!$B$27</f>
        <v>1009794</v>
      </c>
      <c r="E11" s="24">
        <v>150000</v>
      </c>
      <c r="F11" s="30">
        <f>Assumptions!$D$16</f>
        <v>15000</v>
      </c>
      <c r="G11" s="14">
        <f t="shared" si="0"/>
        <v>1640315.9311999995</v>
      </c>
    </row>
    <row r="12" spans="1:7">
      <c r="A12" s="4" t="s">
        <v>35</v>
      </c>
      <c r="B12" s="7">
        <f t="shared" si="1"/>
        <v>1640315.9311999995</v>
      </c>
      <c r="C12" s="7">
        <f>SUMIF('Revenue Detail'!$A$4:$A$195,A12,'Revenue Detail'!$F$4:$F$195)*Assumptions!$D$14*Assumptions!$B$26</f>
        <v>1427871.7440000002</v>
      </c>
      <c r="D12" s="7">
        <f>SUMIF('Expense Detail'!$A$4:$A$99,A12,'Expense Detail'!$C$4:$C$99)*Assumptions!$B$27</f>
        <v>1013832</v>
      </c>
      <c r="E12" s="23">
        <v>40000</v>
      </c>
      <c r="F12" s="36">
        <f>Assumptions!$D$16</f>
        <v>15000</v>
      </c>
      <c r="G12" s="7">
        <f t="shared" si="0"/>
        <v>1999355.6751999995</v>
      </c>
    </row>
    <row r="13" spans="1:7">
      <c r="A13" s="1" t="s">
        <v>36</v>
      </c>
      <c r="B13" s="14">
        <f t="shared" si="1"/>
        <v>1999355.6751999995</v>
      </c>
      <c r="C13" s="14">
        <f>SUMIF('Revenue Detail'!$A$4:$A$195,A13,'Revenue Detail'!$F$4:$F$195)*Assumptions!$D$14*Assumptions!$B$26</f>
        <v>1503153.3984000001</v>
      </c>
      <c r="D13" s="14">
        <f>SUMIF('Expense Detail'!$A$4:$A$99,A13,'Expense Detail'!$C$4:$C$99)*Assumptions!$B$27</f>
        <v>1019885</v>
      </c>
      <c r="E13" s="24">
        <v>20000</v>
      </c>
      <c r="F13" s="30">
        <f>Assumptions!$D$16</f>
        <v>15000</v>
      </c>
      <c r="G13" s="14">
        <f t="shared" si="0"/>
        <v>2447624.0735999998</v>
      </c>
    </row>
    <row r="14" spans="1:7">
      <c r="A14" s="4" t="s">
        <v>37</v>
      </c>
      <c r="B14" s="7">
        <f t="shared" si="1"/>
        <v>2447624.0735999998</v>
      </c>
      <c r="C14" s="7">
        <f>SUMIF('Revenue Detail'!$A$4:$A$195,A14,'Revenue Detail'!$F$4:$F$195)*Assumptions!$D$14*Assumptions!$B$26</f>
        <v>1463613.4944</v>
      </c>
      <c r="D14" s="7">
        <f>SUMIF('Expense Detail'!$A$4:$A$99,A14,'Expense Detail'!$C$4:$C$99)*Assumptions!$B$27</f>
        <v>1020590</v>
      </c>
      <c r="E14" s="23">
        <v>15000</v>
      </c>
      <c r="F14" s="36">
        <f>Assumptions!$D$16</f>
        <v>15000</v>
      </c>
      <c r="G14" s="7">
        <f t="shared" si="0"/>
        <v>2860647.568</v>
      </c>
    </row>
    <row r="15" spans="1:7">
      <c r="A15" s="1" t="s">
        <v>38</v>
      </c>
      <c r="B15" s="14">
        <f t="shared" si="1"/>
        <v>2860647.568</v>
      </c>
      <c r="C15" s="14">
        <f>SUMIF('Revenue Detail'!$A$4:$A$195,A15,'Revenue Detail'!$F$4:$F$195)*Assumptions!$D$14*Assumptions!$B$26</f>
        <v>1524668.5631999997</v>
      </c>
      <c r="D15" s="14">
        <f>SUMIF('Expense Detail'!$A$4:$A$99,A15,'Expense Detail'!$C$4:$C$99)*Assumptions!$B$27</f>
        <v>1025991</v>
      </c>
      <c r="E15" s="24">
        <v>15000</v>
      </c>
      <c r="F15" s="30">
        <f>Assumptions!$D$16</f>
        <v>15000</v>
      </c>
      <c r="G15" s="14">
        <f t="shared" si="0"/>
        <v>3329325.1311999997</v>
      </c>
    </row>
    <row r="16" spans="1:7">
      <c r="A16" s="4" t="s">
        <v>39</v>
      </c>
      <c r="B16" s="7">
        <f t="shared" si="1"/>
        <v>3329325.1311999997</v>
      </c>
      <c r="C16" s="7">
        <f>SUMIF('Revenue Detail'!$A$4:$A$195,A16,'Revenue Detail'!$F$4:$F$195)*Assumptions!$D$14*Assumptions!$B$26</f>
        <v>1442009.088</v>
      </c>
      <c r="D16" s="7">
        <f>SUMIF('Expense Detail'!$A$4:$A$99,A16,'Expense Detail'!$C$4:$C$99)*Assumptions!$B$27</f>
        <v>1024665</v>
      </c>
      <c r="E16" s="23">
        <v>60000</v>
      </c>
      <c r="F16" s="36">
        <f>Assumptions!$D$16</f>
        <v>15000</v>
      </c>
      <c r="G16" s="7">
        <f t="shared" si="0"/>
        <v>3671669.2192000002</v>
      </c>
    </row>
    <row r="17" spans="1:7">
      <c r="A17" s="1" t="s">
        <v>40</v>
      </c>
      <c r="B17" s="14">
        <f t="shared" si="1"/>
        <v>3671669.2192000002</v>
      </c>
      <c r="C17" s="14">
        <f>SUMIF('Revenue Detail'!$A$4:$A$195,A17,'Revenue Detail'!$F$4:$F$195)*Assumptions!$D$14*Assumptions!$B$26</f>
        <v>1619014.3871999998</v>
      </c>
      <c r="D17" s="14">
        <f>SUMIF('Expense Detail'!$A$4:$A$99,A17,'Expense Detail'!$C$4:$C$99)*Assumptions!$B$27</f>
        <v>1035485</v>
      </c>
      <c r="E17" s="24">
        <v>90000</v>
      </c>
      <c r="F17" s="30">
        <f>Assumptions!$D$16</f>
        <v>15000</v>
      </c>
      <c r="G17" s="14">
        <f t="shared" si="0"/>
        <v>4150198.6063999999</v>
      </c>
    </row>
    <row r="18" spans="1:7">
      <c r="A18" s="4" t="s">
        <v>41</v>
      </c>
      <c r="B18" s="7">
        <f t="shared" si="1"/>
        <v>4150198.6063999999</v>
      </c>
      <c r="C18" s="7">
        <f>SUMIF('Revenue Detail'!$A$4:$A$195,A18,'Revenue Detail'!$F$4:$F$195)*Assumptions!$D$14*Assumptions!$B$26</f>
        <v>1999584.4128</v>
      </c>
      <c r="D18" s="7">
        <f>SUMIF('Expense Detail'!$A$4:$A$99,A18,'Expense Detail'!$C$4:$C$99)*Assumptions!$B$27</f>
        <v>1142619</v>
      </c>
      <c r="E18" s="23">
        <v>20000</v>
      </c>
      <c r="F18" s="36">
        <f>Assumptions!$D$16</f>
        <v>15000</v>
      </c>
      <c r="G18" s="7">
        <f t="shared" si="0"/>
        <v>4972164.0192</v>
      </c>
    </row>
    <row r="19" spans="1:7">
      <c r="A19" s="1" t="s">
        <v>42</v>
      </c>
      <c r="B19" s="14">
        <f t="shared" si="1"/>
        <v>4972164.0192</v>
      </c>
      <c r="C19" s="14">
        <f>SUMIF('Revenue Detail'!$A$4:$A$195,A19,'Revenue Detail'!$F$4:$F$195)*Assumptions!$D$14*Assumptions!$B$26</f>
        <v>2251357.0463999999</v>
      </c>
      <c r="D19" s="14">
        <f>SUMIF('Expense Detail'!$A$4:$A$99,A19,'Expense Detail'!$C$4:$C$99)*Assumptions!$B$27</f>
        <v>1157177</v>
      </c>
      <c r="E19" s="24">
        <v>15000</v>
      </c>
      <c r="F19" s="30">
        <f>Assumptions!$D$16</f>
        <v>15000</v>
      </c>
      <c r="G19" s="14">
        <f t="shared" si="0"/>
        <v>6036344.0656000003</v>
      </c>
    </row>
    <row r="20" spans="1:7">
      <c r="A20" s="2" t="s">
        <v>99</v>
      </c>
      <c r="B20" s="22"/>
      <c r="C20" s="20">
        <f>SUM(C8:C19)</f>
        <v>18298393.0656</v>
      </c>
      <c r="D20" s="20">
        <f>SUM(D8:D19)</f>
        <v>12457049</v>
      </c>
      <c r="E20" s="20">
        <f>SUM(E8:E19)</f>
        <v>475000</v>
      </c>
      <c r="F20" s="20">
        <f>SUM(F8:F19)</f>
        <v>180000</v>
      </c>
      <c r="G20" s="20">
        <f>G19</f>
        <v>6036344.0656000003</v>
      </c>
    </row>
  </sheetData>
  <mergeCells count="5">
    <mergeCell ref="A1:G1"/>
    <mergeCell ref="A2:G2"/>
    <mergeCell ref="A3:B3"/>
    <mergeCell ref="A4:B4"/>
    <mergeCell ref="A5:B5"/>
  </mergeCells>
  <conditionalFormatting sqref="G8:G19">
    <cfRule type="cellIs" dxfId="4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4748B"/>
  </sheetPr>
  <dimension ref="A1:F2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0" customWidth="1"/>
    <col min="2" max="2" width="22" customWidth="1"/>
    <col min="3" max="3" width="13" customWidth="1"/>
    <col min="4" max="4" width="18" customWidth="1"/>
    <col min="5" max="5" width="15" customWidth="1"/>
    <col min="6" max="6" width="16" customWidth="1"/>
  </cols>
  <sheetData>
    <row r="1" spans="1:6" ht="25.5" customHeight="1">
      <c r="A1" s="46" t="s">
        <v>100</v>
      </c>
      <c r="B1" s="46"/>
      <c r="C1" s="46"/>
      <c r="D1" s="46"/>
      <c r="E1" s="46"/>
      <c r="F1" s="46"/>
    </row>
    <row r="2" spans="1:6">
      <c r="A2" s="47" t="s">
        <v>101</v>
      </c>
      <c r="B2" s="47"/>
      <c r="C2" s="47"/>
      <c r="D2" s="47"/>
      <c r="E2" s="47"/>
      <c r="F2" s="47"/>
    </row>
    <row r="4" spans="1:6" ht="30" customHeight="1">
      <c r="A4" s="3" t="s">
        <v>45</v>
      </c>
      <c r="B4" s="3" t="s">
        <v>102</v>
      </c>
      <c r="C4" s="3" t="s">
        <v>103</v>
      </c>
      <c r="D4" s="3" t="s">
        <v>104</v>
      </c>
      <c r="E4" s="3" t="s">
        <v>105</v>
      </c>
      <c r="F4" s="3" t="s">
        <v>106</v>
      </c>
    </row>
    <row r="5" spans="1:6">
      <c r="A5" s="1" t="s">
        <v>52</v>
      </c>
      <c r="B5" s="1" t="s">
        <v>107</v>
      </c>
      <c r="C5" s="12">
        <v>12</v>
      </c>
      <c r="D5" s="24">
        <v>58000</v>
      </c>
      <c r="E5" s="37">
        <v>0.28000000000000003</v>
      </c>
      <c r="F5" s="14">
        <f t="shared" ref="F5:F20" si="0">C5*D5/12*(1+E5)</f>
        <v>74240</v>
      </c>
    </row>
    <row r="6" spans="1:6">
      <c r="A6" s="4" t="s">
        <v>52</v>
      </c>
      <c r="B6" s="4" t="s">
        <v>108</v>
      </c>
      <c r="C6" s="5">
        <v>3</v>
      </c>
      <c r="D6" s="23">
        <v>85000</v>
      </c>
      <c r="E6" s="38">
        <v>0.28000000000000003</v>
      </c>
      <c r="F6" s="7">
        <f t="shared" si="0"/>
        <v>27200</v>
      </c>
    </row>
    <row r="7" spans="1:6">
      <c r="A7" s="1" t="s">
        <v>55</v>
      </c>
      <c r="B7" s="1" t="s">
        <v>109</v>
      </c>
      <c r="C7" s="12">
        <v>5</v>
      </c>
      <c r="D7" s="24">
        <v>62000</v>
      </c>
      <c r="E7" s="37">
        <v>0.28000000000000003</v>
      </c>
      <c r="F7" s="14">
        <f t="shared" si="0"/>
        <v>33066.666666666664</v>
      </c>
    </row>
    <row r="8" spans="1:6">
      <c r="A8" s="4" t="s">
        <v>55</v>
      </c>
      <c r="B8" s="4" t="s">
        <v>110</v>
      </c>
      <c r="C8" s="5">
        <v>2</v>
      </c>
      <c r="D8" s="23">
        <v>90000</v>
      </c>
      <c r="E8" s="38">
        <v>0.28000000000000003</v>
      </c>
      <c r="F8" s="7">
        <f t="shared" si="0"/>
        <v>19200</v>
      </c>
    </row>
    <row r="9" spans="1:6">
      <c r="A9" s="1" t="s">
        <v>59</v>
      </c>
      <c r="B9" s="1" t="s">
        <v>111</v>
      </c>
      <c r="C9" s="12">
        <v>20</v>
      </c>
      <c r="D9" s="24">
        <v>42000</v>
      </c>
      <c r="E9" s="37">
        <v>0.28000000000000003</v>
      </c>
      <c r="F9" s="14">
        <f t="shared" si="0"/>
        <v>89600</v>
      </c>
    </row>
    <row r="10" spans="1:6">
      <c r="A10" s="4" t="s">
        <v>59</v>
      </c>
      <c r="B10" s="4" t="s">
        <v>112</v>
      </c>
      <c r="C10" s="5">
        <v>4</v>
      </c>
      <c r="D10" s="23">
        <v>68000</v>
      </c>
      <c r="E10" s="38">
        <v>0.28000000000000003</v>
      </c>
      <c r="F10" s="7">
        <f t="shared" si="0"/>
        <v>29013.333333333336</v>
      </c>
    </row>
    <row r="11" spans="1:6">
      <c r="A11" s="1" t="s">
        <v>61</v>
      </c>
      <c r="B11" s="1" t="s">
        <v>113</v>
      </c>
      <c r="C11" s="12">
        <v>6</v>
      </c>
      <c r="D11" s="24">
        <v>105000</v>
      </c>
      <c r="E11" s="37">
        <v>0.28000000000000003</v>
      </c>
      <c r="F11" s="14">
        <f t="shared" si="0"/>
        <v>67200</v>
      </c>
    </row>
    <row r="12" spans="1:6">
      <c r="A12" s="4" t="s">
        <v>61</v>
      </c>
      <c r="B12" s="4" t="s">
        <v>114</v>
      </c>
      <c r="C12" s="5">
        <v>3</v>
      </c>
      <c r="D12" s="23">
        <v>55000</v>
      </c>
      <c r="E12" s="38">
        <v>0.28000000000000003</v>
      </c>
      <c r="F12" s="7">
        <f t="shared" si="0"/>
        <v>17600</v>
      </c>
    </row>
    <row r="13" spans="1:6">
      <c r="A13" s="1" t="s">
        <v>64</v>
      </c>
      <c r="B13" s="1" t="s">
        <v>115</v>
      </c>
      <c r="C13" s="12">
        <v>3</v>
      </c>
      <c r="D13" s="24">
        <v>60000</v>
      </c>
      <c r="E13" s="37">
        <v>0.28000000000000003</v>
      </c>
      <c r="F13" s="14">
        <f t="shared" si="0"/>
        <v>19200</v>
      </c>
    </row>
    <row r="14" spans="1:6">
      <c r="A14" s="4" t="s">
        <v>64</v>
      </c>
      <c r="B14" s="4" t="s">
        <v>116</v>
      </c>
      <c r="C14" s="5">
        <v>1</v>
      </c>
      <c r="D14" s="23">
        <v>120000</v>
      </c>
      <c r="E14" s="38">
        <v>0.28000000000000003</v>
      </c>
      <c r="F14" s="7">
        <f t="shared" si="0"/>
        <v>12800</v>
      </c>
    </row>
    <row r="15" spans="1:6">
      <c r="A15" s="1" t="s">
        <v>66</v>
      </c>
      <c r="B15" s="1" t="s">
        <v>117</v>
      </c>
      <c r="C15" s="12">
        <v>4</v>
      </c>
      <c r="D15" s="24">
        <v>72000</v>
      </c>
      <c r="E15" s="37">
        <v>0.28000000000000003</v>
      </c>
      <c r="F15" s="14">
        <f t="shared" si="0"/>
        <v>30720</v>
      </c>
    </row>
    <row r="16" spans="1:6">
      <c r="A16" s="4" t="s">
        <v>66</v>
      </c>
      <c r="B16" s="4" t="s">
        <v>118</v>
      </c>
      <c r="C16" s="5">
        <v>1</v>
      </c>
      <c r="D16" s="23">
        <v>115000</v>
      </c>
      <c r="E16" s="38">
        <v>0.28000000000000003</v>
      </c>
      <c r="F16" s="7">
        <f t="shared" si="0"/>
        <v>12266.666666666668</v>
      </c>
    </row>
    <row r="17" spans="1:6">
      <c r="A17" s="1" t="s">
        <v>69</v>
      </c>
      <c r="B17" s="1" t="s">
        <v>119</v>
      </c>
      <c r="C17" s="12">
        <v>10</v>
      </c>
      <c r="D17" s="24">
        <v>40000</v>
      </c>
      <c r="E17" s="37">
        <v>0.28000000000000003</v>
      </c>
      <c r="F17" s="14">
        <f t="shared" si="0"/>
        <v>42666.666666666672</v>
      </c>
    </row>
    <row r="18" spans="1:6">
      <c r="A18" s="4" t="s">
        <v>69</v>
      </c>
      <c r="B18" s="4" t="s">
        <v>120</v>
      </c>
      <c r="C18" s="5">
        <v>2</v>
      </c>
      <c r="D18" s="23">
        <v>58000</v>
      </c>
      <c r="E18" s="38">
        <v>0.28000000000000003</v>
      </c>
      <c r="F18" s="7">
        <f t="shared" si="0"/>
        <v>12373.333333333332</v>
      </c>
    </row>
    <row r="19" spans="1:6">
      <c r="A19" s="1" t="s">
        <v>71</v>
      </c>
      <c r="B19" s="1" t="s">
        <v>121</v>
      </c>
      <c r="C19" s="12">
        <v>3</v>
      </c>
      <c r="D19" s="24">
        <v>180000</v>
      </c>
      <c r="E19" s="37">
        <v>0.28000000000000003</v>
      </c>
      <c r="F19" s="14">
        <f t="shared" si="0"/>
        <v>57600</v>
      </c>
    </row>
    <row r="20" spans="1:6">
      <c r="A20" s="4" t="s">
        <v>71</v>
      </c>
      <c r="B20" s="4" t="s">
        <v>122</v>
      </c>
      <c r="C20" s="5">
        <v>1</v>
      </c>
      <c r="D20" s="23">
        <v>250000</v>
      </c>
      <c r="E20" s="38">
        <v>0.28000000000000003</v>
      </c>
      <c r="F20" s="7">
        <f t="shared" si="0"/>
        <v>26666.666666666664</v>
      </c>
    </row>
    <row r="21" spans="1:6">
      <c r="A21" s="64" t="s">
        <v>43</v>
      </c>
      <c r="B21" s="64"/>
      <c r="C21" s="18">
        <f>SUM(C5:C20)</f>
        <v>80</v>
      </c>
      <c r="D21" s="20">
        <f>AVERAGE(D5:D20)</f>
        <v>91250</v>
      </c>
      <c r="E21" s="22"/>
      <c r="F21" s="20">
        <f>SUM(F5:F20)</f>
        <v>571413.33333333337</v>
      </c>
    </row>
    <row r="23" spans="1:6" ht="27.75" customHeight="1">
      <c r="A23" s="49" t="s">
        <v>123</v>
      </c>
      <c r="B23" s="49"/>
      <c r="C23" s="49"/>
      <c r="D23" s="49"/>
      <c r="E23" s="49"/>
      <c r="F23" s="49"/>
    </row>
  </sheetData>
  <mergeCells count="4">
    <mergeCell ref="A1:F1"/>
    <mergeCell ref="A2:F2"/>
    <mergeCell ref="A21:B21"/>
    <mergeCell ref="A23:F23"/>
  </mergeCells>
  <dataValidations count="3">
    <dataValidation type="whole" operator="greaterThanOrEqual" allowBlank="1" showErrorMessage="1" errorTitle="Headcount must be ≥ 0" error="Headcount cannot be negative." sqref="C5:C20" xr:uid="{00000000-0002-0000-0500-000000000000}">
      <formula1>0</formula1>
      <formula2>0</formula2>
    </dataValidation>
    <dataValidation type="decimal" operator="greaterThanOrEqual" allowBlank="1" showErrorMessage="1" errorTitle="Salary must be ≥ 0" error="Average annual salary cannot be negative." sqref="D5:D20" xr:uid="{00000000-0002-0000-0500-000001000000}">
      <formula1>0</formula1>
      <formula2>0</formula2>
    </dataValidation>
    <dataValidation type="decimal" allowBlank="1" showErrorMessage="1" errorTitle="Rate must be 0-100%" error="Benefits load should be entered as a decimal between 0 and 1." sqref="E5:E20" xr:uid="{00000000-0002-0000-0500-000002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172A"/>
  </sheetPr>
  <dimension ref="A1:H21"/>
  <sheetViews>
    <sheetView showGridLines="0" zoomScaleNormal="100" workbookViewId="0">
      <selection sqref="A1:H1"/>
    </sheetView>
  </sheetViews>
  <sheetFormatPr defaultColWidth="8.7109375" defaultRowHeight="15"/>
  <cols>
    <col min="1" max="8" width="15" customWidth="1"/>
  </cols>
  <sheetData>
    <row r="1" spans="1:8" ht="31.5" customHeight="1">
      <c r="A1" s="46" t="s">
        <v>124</v>
      </c>
      <c r="B1" s="46"/>
      <c r="C1" s="46"/>
      <c r="D1" s="46"/>
      <c r="E1" s="46"/>
      <c r="F1" s="46"/>
      <c r="G1" s="46"/>
      <c r="H1" s="46"/>
    </row>
    <row r="2" spans="1:8">
      <c r="A2" s="47" t="s">
        <v>125</v>
      </c>
      <c r="B2" s="47"/>
      <c r="C2" s="47"/>
      <c r="D2" s="47"/>
      <c r="E2" s="47"/>
      <c r="F2" s="47"/>
      <c r="G2" s="47"/>
      <c r="H2" s="47"/>
    </row>
    <row r="3" spans="1:8" ht="6" customHeight="1"/>
    <row r="4" spans="1:8" ht="18" customHeight="1">
      <c r="A4" s="58" t="s">
        <v>126</v>
      </c>
      <c r="B4" s="58"/>
      <c r="C4" s="59" t="s">
        <v>127</v>
      </c>
      <c r="D4" s="59"/>
      <c r="E4" s="60" t="s">
        <v>128</v>
      </c>
      <c r="F4" s="60"/>
      <c r="G4" s="61" t="s">
        <v>129</v>
      </c>
      <c r="H4" s="61"/>
    </row>
    <row r="5" spans="1:8" ht="31.5" customHeight="1">
      <c r="A5" s="50">
        <f>'Variance Report'!C10</f>
        <v>19368646.090000004</v>
      </c>
      <c r="B5" s="50"/>
      <c r="C5" s="51">
        <f>'Variance Report'!C22</f>
        <v>12707410</v>
      </c>
      <c r="D5" s="51"/>
      <c r="E5" s="52">
        <f>'Variance Report'!E30</f>
        <v>6661236.0900000036</v>
      </c>
      <c r="F5" s="52"/>
      <c r="G5" s="53">
        <f>'Variance Report'!E31</f>
        <v>57458.980000004172</v>
      </c>
      <c r="H5" s="53"/>
    </row>
    <row r="6" spans="1:8" ht="15.75" customHeight="1">
      <c r="A6" s="54" t="str">
        <f>"Budget "&amp;TEXT('Variance Report'!B10,"$#,##0")&amp;"  ·  "&amp;TEXT(('Variance Report'!C10-'Variance Report'!B10)/'Variance Report'!B10,"+0.0%;-0.0%")&amp;" vs. plan"</f>
        <v>Budget $19,060,826  ·  +1.6% vs. plan</v>
      </c>
      <c r="B6" s="54"/>
      <c r="C6" s="55" t="str">
        <f>"Budget "&amp;TEXT('Variance Report'!B22,"$#,##0")&amp;"  ·  "&amp;TEXT(('Variance Report'!C22-'Variance Report'!B22)/'Variance Report'!B22,"+0.0%;-0.0%")&amp;" vs. plan"</f>
        <v>Budget $12,457,049  ·  +2.0% vs. plan</v>
      </c>
      <c r="D6" s="55"/>
      <c r="E6" s="56" t="str">
        <f>"Budget "&amp;TEXT('Variance Report'!E27,"$#,##0")&amp;"  ·  "&amp;TEXT('Variance Report'!E32,"+0.0%;-0.0%")&amp;" vs. plan"</f>
        <v>Budget $6,603,777  ·  +0.9% vs. plan</v>
      </c>
      <c r="F6" s="56"/>
      <c r="G6" s="57" t="str">
        <f>IF('Variance Report'!E31&gt;=0,"▲ ","▼ ")&amp;TEXT('Variance Report'!E32,"+0.0%;-0.0%")&amp;" vs. budgeted NOI"</f>
        <v>▲ +0.9% vs. budgeted NOI</v>
      </c>
      <c r="H6" s="57"/>
    </row>
    <row r="7" spans="1:8" ht="7.5" customHeight="1"/>
    <row r="8" spans="1:8" ht="18" customHeight="1">
      <c r="A8" s="65" t="s">
        <v>130</v>
      </c>
      <c r="B8" s="65"/>
      <c r="C8" s="65"/>
      <c r="D8" s="65"/>
      <c r="E8" s="65" t="s">
        <v>131</v>
      </c>
      <c r="F8" s="65"/>
      <c r="G8" s="65"/>
      <c r="H8" s="65"/>
    </row>
    <row r="9" spans="1:8" ht="30" customHeight="1">
      <c r="A9" s="3" t="s">
        <v>1</v>
      </c>
      <c r="B9" s="3" t="s">
        <v>6</v>
      </c>
      <c r="C9" s="3" t="s">
        <v>9</v>
      </c>
      <c r="D9" s="3" t="s">
        <v>132</v>
      </c>
      <c r="E9" s="3" t="s">
        <v>45</v>
      </c>
      <c r="F9" s="3" t="s">
        <v>84</v>
      </c>
      <c r="G9" s="3" t="s">
        <v>132</v>
      </c>
    </row>
    <row r="10" spans="1:8">
      <c r="A10" s="4" t="s">
        <v>17</v>
      </c>
      <c r="B10" s="36">
        <f>SUMIF('Revenue Detail'!$A$4:$A$195,A10,'Revenue Detail'!$F$4:$F$195)</f>
        <v>1207610</v>
      </c>
      <c r="C10" s="36">
        <f>SUMIF('Revenue Detail'!$A$4:$A$195,A10,'Revenue Detail'!$I$4:$I$195)</f>
        <v>1228606.73</v>
      </c>
      <c r="D10" s="39" t="str">
        <f t="shared" ref="D10:D21" si="0">REPT("█",ROUND(C10/MAX($C$10:$C$21)*12,0))</f>
        <v>██████</v>
      </c>
      <c r="E10" s="4" t="s">
        <v>52</v>
      </c>
      <c r="F10" s="36">
        <f>SUMIF('Expense Detail'!$B$4:$B$99,E10,'Expense Detail'!$D$4:$D$99)</f>
        <v>2172994</v>
      </c>
      <c r="G10" s="40" t="str">
        <f t="shared" ref="G10:G17" si="1">REPT("█",ROUND(F10/MAX($F$10:$F$17)*12,0))</f>
        <v>████████</v>
      </c>
    </row>
    <row r="11" spans="1:8">
      <c r="A11" s="1" t="s">
        <v>29</v>
      </c>
      <c r="B11" s="30">
        <f>SUMIF('Revenue Detail'!$A$4:$A$195,A11,'Revenue Detail'!$F$4:$F$195)</f>
        <v>1240161.7600000002</v>
      </c>
      <c r="C11" s="30">
        <f>SUMIF('Revenue Detail'!$A$4:$A$195,A11,'Revenue Detail'!$I$4:$I$195)</f>
        <v>1267157.9600000002</v>
      </c>
      <c r="D11" s="41" t="str">
        <f t="shared" si="0"/>
        <v>██████</v>
      </c>
      <c r="E11" s="1" t="s">
        <v>55</v>
      </c>
      <c r="F11" s="30">
        <f>SUMIF('Expense Detail'!$B$4:$B$99,E11,'Expense Detail'!$D$4:$D$99)</f>
        <v>2068173</v>
      </c>
      <c r="G11" s="42" t="str">
        <f t="shared" si="1"/>
        <v>████████</v>
      </c>
    </row>
    <row r="12" spans="1:8">
      <c r="A12" s="4" t="s">
        <v>31</v>
      </c>
      <c r="B12" s="36">
        <f>SUMIF('Revenue Detail'!$A$4:$A$195,A12,'Revenue Detail'!$F$4:$F$195)</f>
        <v>1376501.2699999996</v>
      </c>
      <c r="C12" s="36">
        <f>SUMIF('Revenue Detail'!$A$4:$A$195,A12,'Revenue Detail'!$I$4:$I$195)</f>
        <v>1426009.7400000002</v>
      </c>
      <c r="D12" s="39" t="str">
        <f t="shared" si="0"/>
        <v>███████</v>
      </c>
      <c r="E12" s="4" t="s">
        <v>59</v>
      </c>
      <c r="F12" s="36">
        <f>SUMIF('Expense Detail'!$B$4:$B$99,E12,'Expense Detail'!$D$4:$D$99)</f>
        <v>3242278</v>
      </c>
      <c r="G12" s="40" t="str">
        <f t="shared" si="1"/>
        <v>████████████</v>
      </c>
    </row>
    <row r="13" spans="1:8">
      <c r="A13" s="1" t="s">
        <v>34</v>
      </c>
      <c r="B13" s="30">
        <f>SUMIF('Revenue Detail'!$A$4:$A$195,A13,'Revenue Detail'!$F$4:$F$195)</f>
        <v>1453977.9400000002</v>
      </c>
      <c r="C13" s="30">
        <f>SUMIF('Revenue Detail'!$A$4:$A$195,A13,'Revenue Detail'!$I$4:$I$195)</f>
        <v>1461741.8699999999</v>
      </c>
      <c r="D13" s="41" t="str">
        <f t="shared" si="0"/>
        <v>███████</v>
      </c>
      <c r="E13" s="1" t="s">
        <v>61</v>
      </c>
      <c r="F13" s="30">
        <f>SUMIF('Expense Detail'!$B$4:$B$99,E13,'Expense Detail'!$D$4:$D$99)</f>
        <v>1175166</v>
      </c>
      <c r="G13" s="42" t="str">
        <f t="shared" si="1"/>
        <v>████</v>
      </c>
    </row>
    <row r="14" spans="1:8">
      <c r="A14" s="4" t="s">
        <v>35</v>
      </c>
      <c r="B14" s="36">
        <f>SUMIF('Revenue Detail'!$A$4:$A$195,A14,'Revenue Detail'!$F$4:$F$195)</f>
        <v>1487366.4000000001</v>
      </c>
      <c r="C14" s="36">
        <f>SUMIF('Revenue Detail'!$A$4:$A$195,A14,'Revenue Detail'!$I$4:$I$195)</f>
        <v>1475662.29</v>
      </c>
      <c r="D14" s="39" t="str">
        <f t="shared" si="0"/>
        <v>███████</v>
      </c>
      <c r="E14" s="4" t="s">
        <v>64</v>
      </c>
      <c r="F14" s="36">
        <f>SUMIF('Expense Detail'!$B$4:$B$99,E14,'Expense Detail'!$D$4:$D$99)</f>
        <v>714025</v>
      </c>
      <c r="G14" s="40" t="str">
        <f t="shared" si="1"/>
        <v>███</v>
      </c>
    </row>
    <row r="15" spans="1:8">
      <c r="A15" s="1" t="s">
        <v>36</v>
      </c>
      <c r="B15" s="30">
        <f>SUMIF('Revenue Detail'!$A$4:$A$195,A15,'Revenue Detail'!$F$4:$F$195)</f>
        <v>1565784.79</v>
      </c>
      <c r="C15" s="30">
        <f>SUMIF('Revenue Detail'!$A$4:$A$195,A15,'Revenue Detail'!$I$4:$I$195)</f>
        <v>1625131.8</v>
      </c>
      <c r="D15" s="41" t="str">
        <f t="shared" si="0"/>
        <v>████████</v>
      </c>
      <c r="E15" s="1" t="s">
        <v>66</v>
      </c>
      <c r="F15" s="30">
        <f>SUMIF('Expense Detail'!$B$4:$B$99,E15,'Expense Detail'!$D$4:$D$99)</f>
        <v>857492</v>
      </c>
      <c r="G15" s="42" t="str">
        <f t="shared" si="1"/>
        <v>███</v>
      </c>
    </row>
    <row r="16" spans="1:8">
      <c r="A16" s="4" t="s">
        <v>37</v>
      </c>
      <c r="B16" s="36">
        <f>SUMIF('Revenue Detail'!$A$4:$A$195,A16,'Revenue Detail'!$F$4:$F$195)</f>
        <v>1524597.3900000001</v>
      </c>
      <c r="C16" s="36">
        <f>SUMIF('Revenue Detail'!$A$4:$A$195,A16,'Revenue Detail'!$I$4:$I$195)</f>
        <v>1549051.55</v>
      </c>
      <c r="D16" s="39" t="str">
        <f t="shared" si="0"/>
        <v>████████</v>
      </c>
      <c r="E16" s="4" t="s">
        <v>69</v>
      </c>
      <c r="F16" s="36">
        <f>SUMIF('Expense Detail'!$B$4:$B$99,E16,'Expense Detail'!$D$4:$D$99)</f>
        <v>1094062</v>
      </c>
      <c r="G16" s="40" t="str">
        <f t="shared" si="1"/>
        <v>████</v>
      </c>
    </row>
    <row r="17" spans="1:7">
      <c r="A17" s="1" t="s">
        <v>38</v>
      </c>
      <c r="B17" s="30">
        <f>SUMIF('Revenue Detail'!$A$4:$A$195,A17,'Revenue Detail'!$F$4:$F$195)</f>
        <v>1588196.4199999997</v>
      </c>
      <c r="C17" s="30">
        <f>SUMIF('Revenue Detail'!$A$4:$A$195,A17,'Revenue Detail'!$I$4:$I$195)</f>
        <v>1608495.0600000003</v>
      </c>
      <c r="D17" s="41" t="str">
        <f t="shared" si="0"/>
        <v>████████</v>
      </c>
      <c r="E17" s="1" t="s">
        <v>71</v>
      </c>
      <c r="F17" s="30">
        <f>SUMIF('Expense Detail'!$B$4:$B$99,E17,'Expense Detail'!$D$4:$D$99)</f>
        <v>1383220</v>
      </c>
      <c r="G17" s="42" t="str">
        <f t="shared" si="1"/>
        <v>█████</v>
      </c>
    </row>
    <row r="18" spans="1:7">
      <c r="A18" s="4" t="s">
        <v>39</v>
      </c>
      <c r="B18" s="36">
        <f>SUMIF('Revenue Detail'!$A$4:$A$195,A18,'Revenue Detail'!$F$4:$F$195)</f>
        <v>1502092.8</v>
      </c>
      <c r="C18" s="36">
        <f>SUMIF('Revenue Detail'!$A$4:$A$195,A18,'Revenue Detail'!$I$4:$I$195)</f>
        <v>1506837.06</v>
      </c>
      <c r="D18" s="39" t="str">
        <f t="shared" si="0"/>
        <v>████████</v>
      </c>
    </row>
    <row r="19" spans="1:7">
      <c r="A19" s="1" t="s">
        <v>40</v>
      </c>
      <c r="B19" s="30">
        <f>SUMIF('Revenue Detail'!$A$4:$A$195,A19,'Revenue Detail'!$F$4:$F$195)</f>
        <v>1686473.3199999998</v>
      </c>
      <c r="C19" s="30">
        <f>SUMIF('Revenue Detail'!$A$4:$A$195,A19,'Revenue Detail'!$I$4:$I$195)</f>
        <v>1710714.6900000002</v>
      </c>
      <c r="D19" s="41" t="str">
        <f t="shared" si="0"/>
        <v>█████████</v>
      </c>
    </row>
    <row r="20" spans="1:7">
      <c r="A20" s="4" t="s">
        <v>41</v>
      </c>
      <c r="B20" s="36">
        <f>SUMIF('Revenue Detail'!$A$4:$A$195,A20,'Revenue Detail'!$F$4:$F$195)</f>
        <v>2082900.4300000002</v>
      </c>
      <c r="C20" s="36">
        <f>SUMIF('Revenue Detail'!$A$4:$A$195,A20,'Revenue Detail'!$I$4:$I$195)</f>
        <v>2106741.73</v>
      </c>
      <c r="D20" s="39" t="str">
        <f t="shared" si="0"/>
        <v>███████████</v>
      </c>
    </row>
    <row r="21" spans="1:7">
      <c r="A21" s="1" t="s">
        <v>42</v>
      </c>
      <c r="B21" s="30">
        <f>SUMIF('Revenue Detail'!$A$4:$A$195,A21,'Revenue Detail'!$F$4:$F$195)</f>
        <v>2345163.59</v>
      </c>
      <c r="C21" s="30">
        <f>SUMIF('Revenue Detail'!$A$4:$A$195,A21,'Revenue Detail'!$I$4:$I$195)</f>
        <v>2402495.61</v>
      </c>
      <c r="D21" s="41" t="str">
        <f t="shared" si="0"/>
        <v>████████████</v>
      </c>
    </row>
  </sheetData>
  <mergeCells count="16">
    <mergeCell ref="A1:H1"/>
    <mergeCell ref="A2:H2"/>
    <mergeCell ref="A4:B4"/>
    <mergeCell ref="C4:D4"/>
    <mergeCell ref="E4:F4"/>
    <mergeCell ref="G4:H4"/>
    <mergeCell ref="A8:D8"/>
    <mergeCell ref="E8:H8"/>
    <mergeCell ref="A5:B5"/>
    <mergeCell ref="C5:D5"/>
    <mergeCell ref="E5:F5"/>
    <mergeCell ref="G5:H5"/>
    <mergeCell ref="A6:B6"/>
    <mergeCell ref="C6:D6"/>
    <mergeCell ref="E6:F6"/>
    <mergeCell ref="G6:H6"/>
  </mergeCells>
  <conditionalFormatting sqref="G5">
    <cfRule type="cellIs" dxfId="3" priority="2" operator="lessThan">
      <formula>0</formula>
    </cfRule>
    <cfRule type="cellIs" dxfId="2" priority="3" operator="greaterThanOr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600-000004000000}">
            <xm:f>'Variance Report'!E31&lt;0</xm:f>
            <x14:dxf>
              <font>
                <i/>
                <sz val="9"/>
                <color rgb="FFDC2626"/>
                <name val="Calibri"/>
                <charset val="1"/>
              </font>
            </x14:dxf>
          </x14:cfRule>
          <x14:cfRule type="expression" priority="5" id="{00000000-000E-0000-0600-000005000000}">
            <xm:f>'Variance Report'!E31&gt;=0</xm:f>
            <x14:dxf>
              <font>
                <i/>
                <sz val="9"/>
                <color rgb="FF059669"/>
                <name val="Calibri"/>
                <charset val="1"/>
              </font>
            </x14:dxf>
          </x14:cfRule>
          <xm:sqref>G6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7706"/>
  </sheetPr>
  <dimension ref="A1:F27"/>
  <sheetViews>
    <sheetView showGridLines="0" zoomScaleNormal="100" workbookViewId="0"/>
  </sheetViews>
  <sheetFormatPr defaultColWidth="8.7109375" defaultRowHeight="15"/>
  <cols>
    <col min="1" max="1" width="34" customWidth="1"/>
    <col min="2" max="2" width="18" customWidth="1"/>
    <col min="3" max="3" width="20" customWidth="1"/>
    <col min="4" max="6" width="18" customWidth="1"/>
  </cols>
  <sheetData>
    <row r="1" spans="1:6" ht="25.5" customHeight="1">
      <c r="A1" s="46" t="s">
        <v>133</v>
      </c>
      <c r="B1" s="46"/>
      <c r="C1" s="46"/>
      <c r="D1" s="46"/>
      <c r="E1" s="46"/>
      <c r="F1" s="46"/>
    </row>
    <row r="2" spans="1:6">
      <c r="A2" s="47" t="s">
        <v>134</v>
      </c>
      <c r="B2" s="47"/>
      <c r="C2" s="47"/>
      <c r="D2" s="47"/>
      <c r="E2" s="47"/>
      <c r="F2" s="47"/>
    </row>
    <row r="4" spans="1:6" ht="18" customHeight="1">
      <c r="A4" s="65" t="s">
        <v>135</v>
      </c>
      <c r="B4" s="65"/>
      <c r="C4" s="65"/>
      <c r="D4" s="65"/>
      <c r="E4" s="65"/>
      <c r="F4" s="65"/>
    </row>
    <row r="5" spans="1:6" ht="30" customHeight="1">
      <c r="A5" s="3" t="s">
        <v>3</v>
      </c>
      <c r="B5" s="3" t="s">
        <v>136</v>
      </c>
      <c r="C5" s="3" t="s">
        <v>137</v>
      </c>
    </row>
    <row r="6" spans="1:6">
      <c r="A6" s="1" t="s">
        <v>19</v>
      </c>
      <c r="B6" s="29">
        <v>4750000</v>
      </c>
      <c r="C6" s="37">
        <v>4.4999999999999998E-2</v>
      </c>
    </row>
    <row r="7" spans="1:6">
      <c r="A7" s="1" t="s">
        <v>21</v>
      </c>
      <c r="B7" s="29">
        <v>3100000</v>
      </c>
      <c r="C7" s="37">
        <v>0.03</v>
      </c>
    </row>
    <row r="8" spans="1:6">
      <c r="A8" s="1" t="s">
        <v>23</v>
      </c>
      <c r="B8" s="29">
        <v>4200000</v>
      </c>
      <c r="C8" s="37">
        <v>0.06</v>
      </c>
    </row>
    <row r="9" spans="1:6">
      <c r="A9" s="1" t="s">
        <v>24</v>
      </c>
      <c r="B9" s="29">
        <v>2650000</v>
      </c>
      <c r="C9" s="37">
        <v>0.05</v>
      </c>
    </row>
    <row r="11" spans="1:6" ht="18" customHeight="1">
      <c r="A11" s="65" t="s">
        <v>138</v>
      </c>
      <c r="B11" s="65"/>
      <c r="C11" s="65"/>
      <c r="D11" s="65"/>
      <c r="E11" s="65"/>
      <c r="F11" s="65"/>
    </row>
    <row r="12" spans="1:6">
      <c r="A12" s="68" t="s">
        <v>139</v>
      </c>
      <c r="B12" s="68"/>
      <c r="C12" s="68"/>
      <c r="D12" s="37">
        <v>3.2000000000000001E-2</v>
      </c>
    </row>
    <row r="13" spans="1:6">
      <c r="A13" s="68" t="s">
        <v>140</v>
      </c>
      <c r="B13" s="68"/>
      <c r="C13" s="68"/>
      <c r="D13" s="37">
        <v>0.24</v>
      </c>
    </row>
    <row r="14" spans="1:6">
      <c r="A14" s="68" t="s">
        <v>141</v>
      </c>
      <c r="B14" s="68"/>
      <c r="C14" s="68"/>
      <c r="D14" s="37">
        <v>0.96</v>
      </c>
    </row>
    <row r="15" spans="1:6">
      <c r="A15" s="68" t="s">
        <v>142</v>
      </c>
      <c r="B15" s="68"/>
      <c r="C15" s="68"/>
      <c r="D15" s="29">
        <v>850000</v>
      </c>
    </row>
    <row r="16" spans="1:6">
      <c r="A16" s="68" t="s">
        <v>143</v>
      </c>
      <c r="B16" s="68"/>
      <c r="C16" s="68"/>
      <c r="D16" s="29">
        <v>15000</v>
      </c>
    </row>
    <row r="18" spans="1:6" ht="18" customHeight="1">
      <c r="A18" s="65" t="s">
        <v>144</v>
      </c>
      <c r="B18" s="65"/>
      <c r="C18" s="65"/>
      <c r="D18" s="65"/>
      <c r="E18" s="65"/>
      <c r="F18" s="65"/>
    </row>
    <row r="19" spans="1:6">
      <c r="A19" s="25" t="s">
        <v>145</v>
      </c>
      <c r="B19" s="43" t="s">
        <v>146</v>
      </c>
    </row>
    <row r="21" spans="1:6" ht="30" customHeight="1">
      <c r="A21" s="3" t="s">
        <v>147</v>
      </c>
      <c r="B21" s="3" t="s">
        <v>148</v>
      </c>
      <c r="C21" s="3" t="s">
        <v>149</v>
      </c>
    </row>
    <row r="22" spans="1:6">
      <c r="A22" s="1" t="s">
        <v>150</v>
      </c>
      <c r="B22" s="44">
        <v>1.08</v>
      </c>
      <c r="C22" s="44">
        <v>0.97</v>
      </c>
    </row>
    <row r="23" spans="1:6">
      <c r="A23" s="1" t="s">
        <v>146</v>
      </c>
      <c r="B23" s="44">
        <v>1</v>
      </c>
      <c r="C23" s="44">
        <v>1</v>
      </c>
    </row>
    <row r="24" spans="1:6">
      <c r="A24" s="1" t="s">
        <v>151</v>
      </c>
      <c r="B24" s="44">
        <v>0.9</v>
      </c>
      <c r="C24" s="44">
        <v>1.05</v>
      </c>
    </row>
    <row r="26" spans="1:6">
      <c r="A26" s="25" t="s">
        <v>152</v>
      </c>
      <c r="B26" s="45">
        <f>INDEX($B$22:$B$24,MATCH($B$19,$A$22:$A$24,0))</f>
        <v>1</v>
      </c>
    </row>
    <row r="27" spans="1:6">
      <c r="A27" s="25" t="s">
        <v>153</v>
      </c>
      <c r="B27" s="45">
        <f>INDEX($C$22:$C$24,MATCH($B$19,$A$22:$A$24,0))</f>
        <v>1</v>
      </c>
    </row>
  </sheetData>
  <mergeCells count="10">
    <mergeCell ref="A1:F1"/>
    <mergeCell ref="A2:F2"/>
    <mergeCell ref="A4:F4"/>
    <mergeCell ref="A11:F11"/>
    <mergeCell ref="A12:C12"/>
    <mergeCell ref="A13:C13"/>
    <mergeCell ref="A14:C14"/>
    <mergeCell ref="A15:C15"/>
    <mergeCell ref="A16:C16"/>
    <mergeCell ref="A18:F18"/>
  </mergeCells>
  <dataValidations count="9">
    <dataValidation type="list" sqref="B19" xr:uid="{00000000-0002-0000-0700-000000000000}">
      <formula1>"Best Case,Likely Case,Worst Case"</formula1>
      <formula2>0</formula2>
    </dataValidation>
    <dataValidation type="decimal" operator="greaterThanOrEqual" allowBlank="1" showErrorMessage="1" errorTitle="FY2026 revenue must be ≥ 0" error="Enter a non-negative dollar amount." sqref="B6:B9" xr:uid="{00000000-0002-0000-0700-000001000000}">
      <formula1>0</formula1>
      <formula2>0</formula2>
    </dataValidation>
    <dataValidation type="decimal" allowBlank="1" showErrorMessage="1" errorTitle="Growth rate out of range" error="Enter a growth rate between -100% and 500% (as a decimal, e.g. 0.045)." sqref="C6:C9" xr:uid="{00000000-0002-0000-0700-000002000000}">
      <formula1>-1</formula1>
      <formula2>5</formula2>
    </dataValidation>
    <dataValidation type="decimal" allowBlank="1" showErrorMessage="1" errorTitle="Rate must be 0-100%" error="Enter the inflation rate as a decimal between 0 and 1." sqref="D12" xr:uid="{00000000-0002-0000-0700-000003000000}">
      <formula1>0</formula1>
      <formula2>1</formula2>
    </dataValidation>
    <dataValidation type="decimal" allowBlank="1" showErrorMessage="1" errorTitle="Rate must be 0-100%" error="Enter the tax rate as a decimal between 0 and 1." sqref="D13" xr:uid="{00000000-0002-0000-0700-000004000000}">
      <formula1>0</formula1>
      <formula2>1</formula2>
    </dataValidation>
    <dataValidation type="decimal" allowBlank="1" showErrorMessage="1" errorTitle="Rate must be 0-100%" error="Enter the collection rate as a decimal between 0 and 1." sqref="D14" xr:uid="{00000000-0002-0000-0700-000005000000}">
      <formula1>0</formula1>
      <formula2>1</formula2>
    </dataValidation>
    <dataValidation type="decimal" operator="greaterThanOrEqual" allowBlank="1" showErrorMessage="1" errorTitle="Must be ≥ 0" error="Starting cash balance cannot be negative." sqref="D15" xr:uid="{00000000-0002-0000-0700-000006000000}">
      <formula1>0</formula1>
      <formula2>0</formula2>
    </dataValidation>
    <dataValidation type="decimal" operator="greaterThanOrEqual" allowBlank="1" showErrorMessage="1" errorTitle="Must be ≥ 0" error="Monthly debt service cannot be negative." sqref="D16" xr:uid="{00000000-0002-0000-0700-000007000000}">
      <formula1>0</formula1>
      <formula2>0</formula2>
    </dataValidation>
    <dataValidation type="decimal" allowBlank="1" showErrorMessage="1" errorTitle="Multiplier out of range" error="Scenario multipliers should stay within a realistic 0x-3x range." sqref="B22:C24" xr:uid="{00000000-0002-0000-0700-000008000000}">
      <formula1>0</formula1>
      <formula2>3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3AED"/>
  </sheetPr>
  <dimension ref="A1:O16"/>
  <sheetViews>
    <sheetView showGridLines="0" zoomScaleNormal="100" workbookViewId="0">
      <pane ySplit="8" topLeftCell="A9" activePane="bottomLeft" state="frozen"/>
      <selection pane="bottomLeft" sqref="A1:O1"/>
    </sheetView>
  </sheetViews>
  <sheetFormatPr defaultColWidth="8.7109375" defaultRowHeight="15"/>
  <cols>
    <col min="1" max="1" width="22" customWidth="1"/>
    <col min="2" max="13" width="10" customWidth="1"/>
    <col min="14" max="14" width="14" customWidth="1"/>
    <col min="15" max="15" width="34" customWidth="1"/>
  </cols>
  <sheetData>
    <row r="1" spans="1:15" ht="25.5" customHeight="1">
      <c r="A1" s="46" t="s">
        <v>154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3" spans="1:15">
      <c r="A3" s="25" t="s">
        <v>155</v>
      </c>
      <c r="B3" s="62" t="s">
        <v>61</v>
      </c>
      <c r="C3" s="62"/>
      <c r="D3" s="62"/>
      <c r="F3" s="25" t="s">
        <v>156</v>
      </c>
      <c r="G3" s="62" t="s">
        <v>157</v>
      </c>
      <c r="H3" s="62"/>
      <c r="I3" s="62"/>
    </row>
    <row r="4" spans="1:15">
      <c r="A4" s="25" t="s">
        <v>158</v>
      </c>
      <c r="B4" s="62" t="s">
        <v>159</v>
      </c>
      <c r="C4" s="62"/>
      <c r="D4" s="62"/>
      <c r="F4" s="25" t="s">
        <v>160</v>
      </c>
      <c r="G4" s="63" t="s">
        <v>161</v>
      </c>
      <c r="H4" s="63"/>
      <c r="I4" s="63"/>
    </row>
    <row r="6" spans="1:15" ht="27.75" customHeight="1">
      <c r="A6" s="49" t="s">
        <v>162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8" spans="1:15" ht="30" customHeight="1">
      <c r="A8" s="3" t="s">
        <v>48</v>
      </c>
      <c r="B8" s="3" t="s">
        <v>17</v>
      </c>
      <c r="C8" s="3" t="s">
        <v>29</v>
      </c>
      <c r="D8" s="3" t="s">
        <v>31</v>
      </c>
      <c r="E8" s="3" t="s">
        <v>34</v>
      </c>
      <c r="F8" s="3" t="s">
        <v>35</v>
      </c>
      <c r="G8" s="3" t="s">
        <v>36</v>
      </c>
      <c r="H8" s="3" t="s">
        <v>37</v>
      </c>
      <c r="I8" s="3" t="s">
        <v>38</v>
      </c>
      <c r="J8" s="3" t="s">
        <v>39</v>
      </c>
      <c r="K8" s="3" t="s">
        <v>40</v>
      </c>
      <c r="L8" s="3" t="s">
        <v>41</v>
      </c>
      <c r="M8" s="3" t="s">
        <v>42</v>
      </c>
      <c r="N8" s="3" t="s">
        <v>163</v>
      </c>
      <c r="O8" s="3" t="s">
        <v>164</v>
      </c>
    </row>
    <row r="9" spans="1:15" ht="15" customHeight="1">
      <c r="A9" s="26" t="s">
        <v>165</v>
      </c>
      <c r="B9" s="27">
        <v>7200</v>
      </c>
      <c r="C9" s="27">
        <v>7200</v>
      </c>
      <c r="D9" s="27">
        <v>7400</v>
      </c>
      <c r="E9" s="27">
        <v>7400</v>
      </c>
      <c r="F9" s="27">
        <v>7600</v>
      </c>
      <c r="G9" s="27">
        <v>7600</v>
      </c>
      <c r="H9" s="27">
        <v>7800</v>
      </c>
      <c r="I9" s="27">
        <v>7800</v>
      </c>
      <c r="J9" s="27">
        <v>8000</v>
      </c>
      <c r="K9" s="27">
        <v>8000</v>
      </c>
      <c r="L9" s="27">
        <v>8200</v>
      </c>
      <c r="M9" s="27">
        <v>8600</v>
      </c>
      <c r="N9" s="27">
        <f t="shared" ref="N9:N15" si="0">SUM(B9:M9)</f>
        <v>92800</v>
      </c>
      <c r="O9" s="26" t="s">
        <v>166</v>
      </c>
    </row>
    <row r="10" spans="1:1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14">
        <f t="shared" si="0"/>
        <v>0</v>
      </c>
      <c r="O10" s="28"/>
    </row>
    <row r="11" spans="1:1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14">
        <f t="shared" si="0"/>
        <v>0</v>
      </c>
      <c r="O11" s="28"/>
    </row>
    <row r="12" spans="1:15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14">
        <f t="shared" si="0"/>
        <v>0</v>
      </c>
      <c r="O12" s="28"/>
    </row>
    <row r="13" spans="1:1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14">
        <f t="shared" si="0"/>
        <v>0</v>
      </c>
      <c r="O13" s="28"/>
    </row>
    <row r="14" spans="1:15">
      <c r="A14" s="28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14">
        <f t="shared" si="0"/>
        <v>0</v>
      </c>
      <c r="O14" s="28"/>
    </row>
    <row r="15" spans="1:15">
      <c r="A15" s="28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14">
        <f t="shared" si="0"/>
        <v>0</v>
      </c>
      <c r="O15" s="28"/>
    </row>
    <row r="16" spans="1:15">
      <c r="A16" s="2" t="s">
        <v>167</v>
      </c>
      <c r="B16" s="20">
        <f t="shared" ref="B16:N16" si="1">SUM(B9:B15)</f>
        <v>7200</v>
      </c>
      <c r="C16" s="20">
        <f t="shared" si="1"/>
        <v>7200</v>
      </c>
      <c r="D16" s="20">
        <f t="shared" si="1"/>
        <v>7400</v>
      </c>
      <c r="E16" s="20">
        <f t="shared" si="1"/>
        <v>7400</v>
      </c>
      <c r="F16" s="20">
        <f t="shared" si="1"/>
        <v>7600</v>
      </c>
      <c r="G16" s="20">
        <f t="shared" si="1"/>
        <v>7600</v>
      </c>
      <c r="H16" s="20">
        <f t="shared" si="1"/>
        <v>7800</v>
      </c>
      <c r="I16" s="20">
        <f t="shared" si="1"/>
        <v>7800</v>
      </c>
      <c r="J16" s="20">
        <f t="shared" si="1"/>
        <v>8000</v>
      </c>
      <c r="K16" s="20">
        <f t="shared" si="1"/>
        <v>8000</v>
      </c>
      <c r="L16" s="20">
        <f t="shared" si="1"/>
        <v>8200</v>
      </c>
      <c r="M16" s="20">
        <f t="shared" si="1"/>
        <v>8600</v>
      </c>
      <c r="N16" s="20">
        <f t="shared" si="1"/>
        <v>92800</v>
      </c>
      <c r="O16" s="22"/>
    </row>
  </sheetData>
  <mergeCells count="6">
    <mergeCell ref="A6:O6"/>
    <mergeCell ref="A1:O1"/>
    <mergeCell ref="B3:D3"/>
    <mergeCell ref="G3:I3"/>
    <mergeCell ref="B4:D4"/>
    <mergeCell ref="G4:I4"/>
  </mergeCells>
  <dataValidations count="3">
    <dataValidation type="list" sqref="B3" xr:uid="{00000000-0002-0000-0200-000000000000}">
      <formula1>"Sales,Marketing,Operations,IT,HR,Finance,Customer Service,Executive"</formula1>
      <formula2>0</formula2>
    </dataValidation>
    <dataValidation type="list" sqref="A10:A15" xr:uid="{00000000-0002-0000-0200-000001000000}">
      <formula1>"Payroll,Marketing Spend,Software &amp; IT,Travel,Office &amp; Facilities,Professional Services,Equipment/Capex,Other"</formula1>
      <formula2>0</formula2>
    </dataValidation>
    <dataValidation type="decimal" operator="greaterThanOrEqual" allowBlank="1" showErrorMessage="1" errorTitle="Amount must be ≥ 0" error="Enter a non-negative monthly budget request." sqref="B10:M15" xr:uid="{00000000-0002-0000-02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1</cp:revision>
  <dcterms:created xsi:type="dcterms:W3CDTF">2026-09-04T11:42:36Z</dcterms:created>
  <dcterms:modified xsi:type="dcterms:W3CDTF">2026-09-04T12:48:08Z</dcterms:modified>
  <cp:category/>
  <cp:contentStatus/>
</cp:coreProperties>
</file>